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udi_Data" sheetId="2" state="visible" r:id="rId4"/>
    <sheet name="Nuclear_Technologies" sheetId="3" state="visible" r:id="rId5"/>
    <sheet name="AI_Forecast" sheetId="4" state="visible" r:id="rId6"/>
    <sheet name="Scenario_Simulator" sheetId="5" state="visible" r:id="rId7"/>
    <sheet name="Decision_Engine" sheetId="6" state="visible" r:id="rId8"/>
    <sheet name="Results" sheetId="7" state="visible" r:id="rId9"/>
    <sheet name="Risk_Assessment" sheetId="8" state="visible" r:id="rId10"/>
    <sheet name="Sensitivity_Analysis" sheetId="9" state="visible" r:id="rId11"/>
    <sheet name="References" sheetId="10" state="visible" r:id="rId12"/>
    <sheet name="Data_Dictionary" sheetId="11" state="visible" r:id="rId13"/>
    <sheet name="Executive_Summary" sheetId="12" state="visible" r:id="rId14"/>
    <sheet name="Assumptions" sheetId="13" state="visible" r:id="rId15"/>
    <sheet name="Validation" sheetId="14" state="visible" r:id="rId16"/>
    <sheet name="Generate_Report" sheetId="15" state="visible" r:id="rId17"/>
    <sheet name="Scenario_Comparison" sheetId="16" state="visible" r:id="rId18"/>
    <sheet name="KPI_Dashboard" sheetId="17" state="visible" r:id="rId19"/>
    <sheet name="Saudi_Map_Info" sheetId="18" state="visible" r:id="rId20"/>
    <sheet name="Explainable_AI" sheetId="19" state="visible" r:id="rId21"/>
    <sheet name="Scenario_Input" sheetId="20" state="visible" r:id="rId22"/>
    <sheet name="Results_Dynamic" sheetId="21" state="visible" r:id="rId23"/>
    <sheet name="Weather_Data" sheetId="22" state="visible" r:id="rId24"/>
    <sheet name="Water_Resources" sheetId="23" state="visible" r:id="rId25"/>
    <sheet name="Market_Data" sheetId="24" state="visible" r:id="rId26"/>
    <sheet name="Carbon_Emissions" sheetId="25" state="visible" r:id="rId27"/>
    <sheet name="AI_Recommendation" sheetId="26" state="visible" r:id="rId28"/>
    <sheet name="Methodology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<sst xmlns="http://schemas.openxmlformats.org/spreadsheetml/2006/main" count="556" uniqueCount="381">
  <si>
    <t xml:space="preserve">AI-Driven Saudi Nuclear Energy Planning and Decision Support Platform</t>
  </si>
  <si>
    <t xml:space="preserve">Field</t>
  </si>
  <si>
    <t xml:space="preserve">Value</t>
  </si>
  <si>
    <t xml:space="preserve">KPI</t>
  </si>
  <si>
    <t xml:space="preserve">Competition KPI</t>
  </si>
  <si>
    <t xml:space="preserve">Year</t>
  </si>
  <si>
    <t xml:space="preserve">Energy Security</t>
  </si>
  <si>
    <t xml:space="preserve">Cost</t>
  </si>
  <si>
    <t xml:space="preserve">Scenario</t>
  </si>
  <si>
    <t xml:space="preserve">Combined Stress</t>
  </si>
  <si>
    <t xml:space="preserve">Decision Score</t>
  </si>
  <si>
    <t xml:space="preserve">Reliability</t>
  </si>
  <si>
    <t xml:space="preserve">CO2 Reduction (illustrative)</t>
  </si>
  <si>
    <t xml:space="preserve">Water</t>
  </si>
  <si>
    <t xml:space="preserve">CO2 Score</t>
  </si>
  <si>
    <t xml:space="preserve">CO2</t>
  </si>
  <si>
    <t xml:space="preserve">Water Support</t>
  </si>
  <si>
    <t xml:space="preserve">Water Score</t>
  </si>
  <si>
    <t xml:space="preserve">Recommendation</t>
  </si>
  <si>
    <t xml:space="preserve">Confidence</t>
  </si>
  <si>
    <t xml:space="preserve">89%</t>
  </si>
  <si>
    <t xml:space="preserve">Weight Allocation (Chart Source)</t>
  </si>
  <si>
    <t xml:space="preserve">Metric</t>
  </si>
  <si>
    <t xml:space="preserve">Weight %</t>
  </si>
  <si>
    <t xml:space="preserve">Next milestone: replace prototype values with official Saudi datasets (see References sheet) and validate with subject-matter experts (see Validation sheet).</t>
  </si>
  <si>
    <t xml:space="preserve">Saudi Arabia — National Energy &amp; Water Data</t>
  </si>
  <si>
    <t xml:space="preserve">Consolidated reference dataset. Figures are drawn from the most recent publicly available official statistics; replace with live feeds where available.</t>
  </si>
  <si>
    <t xml:space="preserve">Variable</t>
  </si>
  <si>
    <t xml:space="preserve">Unit</t>
  </si>
  <si>
    <t xml:space="preserve">Source</t>
  </si>
  <si>
    <t xml:space="preserve">Electricity Sent to Grid (Total)</t>
  </si>
  <si>
    <t xml:space="preserve">TWh</t>
  </si>
  <si>
    <t xml:space="preserve">GASTAT, Electrical Energy Statistics 2024</t>
  </si>
  <si>
    <t xml:space="preserve">Electricity Consumption (Total)</t>
  </si>
  <si>
    <t xml:space="preserve">Peak Load</t>
  </si>
  <si>
    <t xml:space="preserve">GW</t>
  </si>
  <si>
    <t xml:space="preserve">Saudi Electricity Company, 9M/H1 earnings releases (2024 approx., record peak)</t>
  </si>
  <si>
    <t xml:space="preserve">Population</t>
  </si>
  <si>
    <t xml:space="preserve">Million</t>
  </si>
  <si>
    <t xml:space="preserve">GASTAT</t>
  </si>
  <si>
    <t xml:space="preserve">Electricity Access</t>
  </si>
  <si>
    <t xml:space="preserve">%</t>
  </si>
  <si>
    <t xml:space="preserve">Renewable Installed Capacity</t>
  </si>
  <si>
    <t xml:space="preserve">GASTAT, Renewable Energy Statistics 2024</t>
  </si>
  <si>
    <t xml:space="preserve">Solar Installed Capacity</t>
  </si>
  <si>
    <t xml:space="preserve">Wind Installed Capacity</t>
  </si>
  <si>
    <t xml:space="preserve">Renewable Capacity Target</t>
  </si>
  <si>
    <t xml:space="preserve">Saudi Vision 2030 / National Renewable Energy Program</t>
  </si>
  <si>
    <t xml:space="preserve">Desalination Capacity</t>
  </si>
  <si>
    <t xml:space="preserve">million m3/day</t>
  </si>
  <si>
    <t xml:space="preserve">SWCC official site (current); national capacity commonly cited ~9 million m3/day depending on year/scope</t>
  </si>
  <si>
    <t xml:space="preserve">Desalination Electricity Use (est.)</t>
  </si>
  <si>
    <t xml:space="preserve">Estimated at 6% of national consumption (EIA Country Analysis Brief, citing Saudi Water Authority, ~2020 ratio) applied to current consumption</t>
  </si>
  <si>
    <t xml:space="preserve">Grid Average Carbon Intensity (est.)</t>
  </si>
  <si>
    <t xml:space="preserve">gCO2/kWh</t>
  </si>
  <si>
    <t xml:space="preserve">Model estimate — generation mix is ~99.3% fossil (gas+oil), &lt;1% wind/solar (EIA/GlobalPetrolPrices, 2024 generation mix)</t>
  </si>
  <si>
    <t xml:space="preserve">Renewable Share of Installed Capacity</t>
  </si>
  <si>
    <t xml:space="preserve">Calculated from rows above</t>
  </si>
  <si>
    <t xml:space="preserve">Renewable Share of Generation (actual output)</t>
  </si>
  <si>
    <t xml:space="preserve">0.7%</t>
  </si>
  <si>
    <t xml:space="preserve">EIA 2024 generation mix: wind 0.39% + solar 0.32% of electricity generated (far below capacity share — reflects low renewable capacity factor/utilization to date)</t>
  </si>
  <si>
    <t xml:space="preserve">Nuclear Technology Options</t>
  </si>
  <si>
    <t xml:space="preserve">Technology</t>
  </si>
  <si>
    <t xml:space="preserve">Capacity Range</t>
  </si>
  <si>
    <t xml:space="preserve">Lifetime</t>
  </si>
  <si>
    <t xml:space="preserve">Capacity Factor</t>
  </si>
  <si>
    <t xml:space="preserve">Role</t>
  </si>
  <si>
    <t xml:space="preserve">Notes</t>
  </si>
  <si>
    <t xml:space="preserve">Large Reactor (PWR/APR-class)</t>
  </si>
  <si>
    <t xml:space="preserve">1,000–1,600 MW</t>
  </si>
  <si>
    <t xml:space="preserve">60 yrs</t>
  </si>
  <si>
    <t xml:space="preserve">~90%</t>
  </si>
  <si>
    <t xml:space="preserve">Baseload</t>
  </si>
  <si>
    <t xml:space="preserve">Highest firm output per site; 7–10 yr construction lead time</t>
  </si>
  <si>
    <t xml:space="preserve">Small Modular Reactor (SMR)</t>
  </si>
  <si>
    <t xml:space="preserve">50–300 MW</t>
  </si>
  <si>
    <t xml:space="preserve">Flexible / load-following</t>
  </si>
  <si>
    <t xml:space="preserve">Modular buildout, shorter lead time, suits phased grid growth</t>
  </si>
  <si>
    <t xml:space="preserve">Microreactor</t>
  </si>
  <si>
    <t xml:space="preserve">&lt;50 MW</t>
  </si>
  <si>
    <t xml:space="preserve">40 yrs</t>
  </si>
  <si>
    <t xml:space="preserve">~95%</t>
  </si>
  <si>
    <t xml:space="preserve">Remote / industrial sites</t>
  </si>
  <si>
    <t xml:space="preserve">Well suited to desalination plants and off-grid industrial loads</t>
  </si>
  <si>
    <t xml:space="preserve">Reference parameters (IAEA Nuclear Power Reactors in the World; vendor public datasheets). Update with site-specific engineering studies before investment decisions.</t>
  </si>
  <si>
    <t xml:space="preserve">AI Forecasting Layer — Electricity Demand Outlook</t>
  </si>
  <si>
    <t xml:space="preserve">Demand path calibrated to the 2024 GASTAT baseline (340 TWh) trending toward Vision 2030 electrification and data-center growth. Peak load scales from demand using the 2024 peak/consumption ratio.</t>
  </si>
  <si>
    <t xml:space="preserve">Demand Forecast (TWh)</t>
  </si>
  <si>
    <t xml:space="preserve">Growth %</t>
  </si>
  <si>
    <t xml:space="preserve">Peak Load Forecast (GW)</t>
  </si>
  <si>
    <t xml:space="preserve">AI-projected (prototype trend)</t>
  </si>
  <si>
    <t xml:space="preserve">Scenario Simulator — Stress Multipliers</t>
  </si>
  <si>
    <t xml:space="preserve">Demand Multiplier</t>
  </si>
  <si>
    <t xml:space="preserve">Renewables</t>
  </si>
  <si>
    <t xml:space="preserve">Nuclear</t>
  </si>
  <si>
    <t xml:space="preserve">Reference</t>
  </si>
  <si>
    <t xml:space="preserve">None</t>
  </si>
  <si>
    <t xml:space="preserve">High Electricity Demand</t>
  </si>
  <si>
    <t xml:space="preserve">Compare</t>
  </si>
  <si>
    <t xml:space="preserve">High Data Centers</t>
  </si>
  <si>
    <t xml:space="preserve">High Water Demand</t>
  </si>
  <si>
    <t xml:space="preserve">Low Renewable Output</t>
  </si>
  <si>
    <t xml:space="preserve">AI Decision Engine — Multi-Criteria Weighted Score</t>
  </si>
  <si>
    <t xml:space="preserve">Scenario evaluated: Combined Stress (worst-case demand + water + low renewables). Scores (0–100) reflect each criterion's performance for the recommended Solar + Nuclear strategy.</t>
  </si>
  <si>
    <t xml:space="preserve">Score (0-100)</t>
  </si>
  <si>
    <t xml:space="preserve">Weighted</t>
  </si>
  <si>
    <t xml:space="preserve">CO2 Emissions</t>
  </si>
  <si>
    <t xml:space="preserve">Weight Check</t>
  </si>
  <si>
    <t xml:space="preserve">Cross-check (SUMPRODUCT)</t>
  </si>
  <si>
    <t xml:space="preserve">Strategy</t>
  </si>
  <si>
    <t xml:space="preserve">Solar + Nuclear</t>
  </si>
  <si>
    <t xml:space="preserve">Recommended</t>
  </si>
  <si>
    <t xml:space="preserve">High Demand</t>
  </si>
  <si>
    <t xml:space="preserve">SMR + Solar</t>
  </si>
  <si>
    <t xml:space="preserve">Hybrid Mix</t>
  </si>
  <si>
    <t xml:space="preserve">Conditional</t>
  </si>
  <si>
    <t xml:space="preserve">Solar + SMR</t>
  </si>
  <si>
    <t xml:space="preserve">Flexible baseload for load growth</t>
  </si>
  <si>
    <t xml:space="preserve">Nuclear + Desalination</t>
  </si>
  <si>
    <t xml:space="preserve">Stable baseload supports desalination</t>
  </si>
  <si>
    <t xml:space="preserve">Nuclear compensates for intermittency</t>
  </si>
  <si>
    <t xml:space="preserve">Recommended — highest reliability &amp; security under stress</t>
  </si>
  <si>
    <t xml:space="preserve">Risk Assessment</t>
  </si>
  <si>
    <t xml:space="preserve">Risk</t>
  </si>
  <si>
    <t xml:space="preserve">Likelihood</t>
  </si>
  <si>
    <t xml:space="preserve">Impact</t>
  </si>
  <si>
    <t xml:space="preserve">Mitigation</t>
  </si>
  <si>
    <t xml:space="preserve">Financial / Financing Cost</t>
  </si>
  <si>
    <t xml:space="preserve">Medium</t>
  </si>
  <si>
    <t xml:space="preserve">High</t>
  </si>
  <si>
    <t xml:space="preserve">Government funding, blended finance, phased investment</t>
  </si>
  <si>
    <t xml:space="preserve">Technical / Construction</t>
  </si>
  <si>
    <t xml:space="preserve">Low</t>
  </si>
  <si>
    <t xml:space="preserve">IAEA safety standards, experienced vendor partnerships</t>
  </si>
  <si>
    <t xml:space="preserve">Water Availability</t>
  </si>
  <si>
    <t xml:space="preserve">Integrate with desalination capacity planning</t>
  </si>
  <si>
    <t xml:space="preserve">Fuel Price Volatility</t>
  </si>
  <si>
    <t xml:space="preserve">Diversify energy mix; nuclear/renewables reduce gas exposure</t>
  </si>
  <si>
    <t xml:space="preserve">Construction Delay</t>
  </si>
  <si>
    <t xml:space="preserve">Phased deployment; SMRs as interim flexible capacity</t>
  </si>
  <si>
    <t xml:space="preserve">Water Demand Growth</t>
  </si>
  <si>
    <t xml:space="preserve">Efficiency measures; desalination electricity co-planning</t>
  </si>
  <si>
    <t xml:space="preserve">Regulatory / Licensing</t>
  </si>
  <si>
    <t xml:space="preserve">Early engagement with IAEA and national regulator</t>
  </si>
  <si>
    <t xml:space="preserve">Sensitivity Analysis</t>
  </si>
  <si>
    <t xml:space="preserve">Impact of ±variation in key parameters on the overall Decision Score for the Combined Stress scenario.</t>
  </si>
  <si>
    <t xml:space="preserve">Parameter</t>
  </si>
  <si>
    <t xml:space="preserve">Variation</t>
  </si>
  <si>
    <t xml:space="preserve">Decision Score Impact</t>
  </si>
  <si>
    <t xml:space="preserve">Implication</t>
  </si>
  <si>
    <t xml:space="preserve">Electricity Demand</t>
  </si>
  <si>
    <t xml:space="preserve">+10%</t>
  </si>
  <si>
    <t xml:space="preserve">-2 pts</t>
  </si>
  <si>
    <t xml:space="preserve">Higher installed capacity required</t>
  </si>
  <si>
    <t xml:space="preserve">Renewable Output</t>
  </si>
  <si>
    <t xml:space="preserve">-20%</t>
  </si>
  <si>
    <t xml:space="preserve">-3 pts</t>
  </si>
  <si>
    <t xml:space="preserve">Higher nuclear contribution needed to hold reliability</t>
  </si>
  <si>
    <t xml:space="preserve">+20%</t>
  </si>
  <si>
    <t xml:space="preserve">+3 pts</t>
  </si>
  <si>
    <t xml:space="preserve">Reduces required nuclear/backup capacity</t>
  </si>
  <si>
    <t xml:space="preserve">Water Demand</t>
  </si>
  <si>
    <t xml:space="preserve">+15%</t>
  </si>
  <si>
    <t xml:space="preserve">-1 pt</t>
  </si>
  <si>
    <t xml:space="preserve">Increased desalination electricity load</t>
  </si>
  <si>
    <t xml:space="preserve">References</t>
  </si>
  <si>
    <t xml:space="preserve">Organization</t>
  </si>
  <si>
    <t xml:space="preserve">Electrical Energy Statistics, 2024</t>
  </si>
  <si>
    <t xml:space="preserve">Official national electricity data</t>
  </si>
  <si>
    <t xml:space="preserve">Renewable Energy Statistics, 2024</t>
  </si>
  <si>
    <t xml:space="preserve">Official renewable capacity data</t>
  </si>
  <si>
    <t xml:space="preserve">IAEA</t>
  </si>
  <si>
    <t xml:space="preserve">Saudi Arabia National Report / Country Nuclear Power Profile</t>
  </si>
  <si>
    <t xml:space="preserve">Nuclear planning context</t>
  </si>
  <si>
    <t xml:space="preserve">Nuclear Power Reactors in the World (Reference Data Series)</t>
  </si>
  <si>
    <t xml:space="preserve">Reactor technology parameters</t>
  </si>
  <si>
    <t xml:space="preserve">Saudi Ministry of Energy</t>
  </si>
  <si>
    <t xml:space="preserve">National Energy Program / Energy Strategy</t>
  </si>
  <si>
    <t xml:space="preserve">Policy context</t>
  </si>
  <si>
    <t xml:space="preserve">Saudi Vision 2030</t>
  </si>
  <si>
    <t xml:space="preserve">Vision 2030 Targets</t>
  </si>
  <si>
    <t xml:space="preserve">50% renewable energy target by 2030</t>
  </si>
  <si>
    <t xml:space="preserve">SWCC (Saline Water Conversion Corporation)</t>
  </si>
  <si>
    <t xml:space="preserve">Desalination capacity statistics</t>
  </si>
  <si>
    <t xml:space="preserve">Water sector data</t>
  </si>
  <si>
    <t xml:space="preserve">IEA</t>
  </si>
  <si>
    <t xml:space="preserve">Saudi Arabia — Electricity Country Profile, 2024</t>
  </si>
  <si>
    <t xml:space="preserve">International cross-check data</t>
  </si>
  <si>
    <t xml:space="preserve">Data Dictionary</t>
  </si>
  <si>
    <t xml:space="preserve">Sheet</t>
  </si>
  <si>
    <t xml:space="preserve">Column</t>
  </si>
  <si>
    <t xml:space="preserve">Arabic</t>
  </si>
  <si>
    <t xml:space="preserve">English</t>
  </si>
  <si>
    <t xml:space="preserve">Dashboard</t>
  </si>
  <si>
    <t xml:space="preserve">درجة القرار</t>
  </si>
  <si>
    <t xml:space="preserve">Overall weighted score across all criteria</t>
  </si>
  <si>
    <t xml:space="preserve">Scenario_Simulator</t>
  </si>
  <si>
    <t xml:space="preserve">السيناريو</t>
  </si>
  <si>
    <t xml:space="preserve">Simulation case / stress test</t>
  </si>
  <si>
    <t xml:space="preserve">Results</t>
  </si>
  <si>
    <t xml:space="preserve">التوصية</t>
  </si>
  <si>
    <t xml:space="preserve">Suggested strategy for the scenario</t>
  </si>
  <si>
    <t xml:space="preserve">Decision_Engine</t>
  </si>
  <si>
    <t xml:space="preserve">الوزن %</t>
  </si>
  <si>
    <t xml:space="preserve">Relative importance assigned to each criterion</t>
  </si>
  <si>
    <t xml:space="preserve">AI_Forecast</t>
  </si>
  <si>
    <t xml:space="preserve">Demand Forecast</t>
  </si>
  <si>
    <t xml:space="preserve">توقع الطلب</t>
  </si>
  <si>
    <t xml:space="preserve">AI-projected electricity demand (TWh)</t>
  </si>
  <si>
    <t xml:space="preserve">Saudi_Data</t>
  </si>
  <si>
    <t xml:space="preserve">Renewable Share</t>
  </si>
  <si>
    <t xml:space="preserve">حصة الطاقة المتجددة</t>
  </si>
  <si>
    <t xml:space="preserve">Renewables as % of installed capacity</t>
  </si>
  <si>
    <t xml:space="preserve">Nuclear_Technologies</t>
  </si>
  <si>
    <t xml:space="preserve">معامل السعة</t>
  </si>
  <si>
    <t xml:space="preserve">Share of maximum output actually generated</t>
  </si>
  <si>
    <t xml:space="preserve">Carbon_Emissions</t>
  </si>
  <si>
    <t xml:space="preserve">CO2 Intensity</t>
  </si>
  <si>
    <t xml:space="preserve">كثافة الانبعاثات</t>
  </si>
  <si>
    <t xml:space="preserve">Lifecycle CO2 per unit of electricity (gCO2/kWh)</t>
  </si>
  <si>
    <t xml:space="preserve">Risk_Assessment</t>
  </si>
  <si>
    <t xml:space="preserve">إجراء التخفيف</t>
  </si>
  <si>
    <t xml:space="preserve">Action to reduce likelihood or impact of a risk</t>
  </si>
  <si>
    <t xml:space="preserve">Executive Summary</t>
  </si>
  <si>
    <t xml:space="preserve">Objective</t>
  </si>
  <si>
    <t xml:space="preserve">Support Saudi nuclear energy planning using an AI-assisted, multi-criteria scenario platform.</t>
  </si>
  <si>
    <t xml:space="preserve">Scope</t>
  </si>
  <si>
    <t xml:space="preserve">2030–2050 planning horizon, covering demand growth, water availability, and renewable integration.</t>
  </si>
  <si>
    <t xml:space="preserve">Approach</t>
  </si>
  <si>
    <t xml:space="preserve">Forecast demand and resources, simulate stress scenarios, and score candidate energy mixes on cost, reliability, energy security, emissions, and water support.</t>
  </si>
  <si>
    <t xml:space="preserve">Key Finding</t>
  </si>
  <si>
    <t xml:space="preserve">Under combined stress (high demand, high water demand, low renewable output), a Solar + Nuclear mix scores highest (Decision Score 93/100), driven by superior reliability and energy security.</t>
  </si>
  <si>
    <t xml:space="preserve">Output</t>
  </si>
  <si>
    <t xml:space="preserve">Recommended energy mix by scenario, KPI dashboard, and an explainable rationale for each recommendation.</t>
  </si>
  <si>
    <t xml:space="preserve">Next Steps</t>
  </si>
  <si>
    <t xml:space="preserve">Replace prototype values with official Saudi datasets, validate scenario logic with domain experts, and extend the forecasting layer with live data feeds.</t>
  </si>
  <si>
    <t xml:space="preserve">Assumptions</t>
  </si>
  <si>
    <t xml:space="preserve">Assumption</t>
  </si>
  <si>
    <t xml:space="preserve">Description / Status</t>
  </si>
  <si>
    <t xml:space="preserve">Technology parameters</t>
  </si>
  <si>
    <t xml:space="preserve">Reference values from IAEA / vendor datasheets (Nuclear_Technologies sheet)</t>
  </si>
  <si>
    <t xml:space="preserve">Scenario multipliers</t>
  </si>
  <si>
    <t xml:space="preserve">Illustrative stress factors (Scenario_Simulator sheet); not derived from a load-flow model</t>
  </si>
  <si>
    <t xml:space="preserve">Official data replacement</t>
  </si>
  <si>
    <t xml:space="preserve">Prototype placeholders should be replaced with live official datasets before operational use</t>
  </si>
  <si>
    <t xml:space="preserve">Demand growth</t>
  </si>
  <si>
    <t xml:space="preserve">Scenario-based, calibrated to the 2024 GASTAT baseline of 340 TWh consumption</t>
  </si>
  <si>
    <t xml:space="preserve">SMR cost &amp; performance</t>
  </si>
  <si>
    <t xml:space="preserve">Reference values pending Saudi-specific vendor quotes</t>
  </si>
  <si>
    <t xml:space="preserve">Renewable output</t>
  </si>
  <si>
    <t xml:space="preserve">Illustrative solar/wind availability; not weather-model derived in this version</t>
  </si>
  <si>
    <t xml:space="preserve">Decision weights</t>
  </si>
  <si>
    <t xml:space="preserve">Cost 30%, Reliability 25%, Energy Security 20%, CO2 15%, Water 10% — set by the project team and adjustable in Decision_Engine</t>
  </si>
  <si>
    <t xml:space="preserve">Validation Checklist</t>
  </si>
  <si>
    <t xml:space="preserve">Check</t>
  </si>
  <si>
    <t xml:space="preserve">Status</t>
  </si>
  <si>
    <t xml:space="preserve">Formula review</t>
  </si>
  <si>
    <t xml:space="preserve">Complete — Decision_Engine weighted-score and AI_Forecast growth formulas verified</t>
  </si>
  <si>
    <t xml:space="preserve">Weight sum check</t>
  </si>
  <si>
    <t xml:space="preserve">Complete — criterion weights in Decision_Engine sum to 100%</t>
  </si>
  <si>
    <t xml:space="preserve">Data source review</t>
  </si>
  <si>
    <t xml:space="preserve">In progress — core figures sourced to GASTAT/IAEA/SWCC; replace remaining estimates with official feeds</t>
  </si>
  <si>
    <t xml:space="preserve">Scenario testing</t>
  </si>
  <si>
    <t xml:space="preserve">Complete — Decision Score responds correctly to Scenario_Simulator inputs</t>
  </si>
  <si>
    <t xml:space="preserve">Cross-sheet consistency</t>
  </si>
  <si>
    <t xml:space="preserve">Complete — Dashboard, KPI_Dashboard and Results_Dynamic now read from Decision_Engine as the single source of truth</t>
  </si>
  <si>
    <t xml:space="preserve">Scenario logic</t>
  </si>
  <si>
    <t xml:space="preserve">Pending — recommend expert review of scenario multipliers against real grid studies</t>
  </si>
  <si>
    <t xml:space="preserve">Automatic Report</t>
  </si>
  <si>
    <t xml:space="preserve">Best Scenario</t>
  </si>
  <si>
    <t xml:space="preserve">Recommended Strategy</t>
  </si>
  <si>
    <t xml:space="preserve">Reason</t>
  </si>
  <si>
    <t xml:space="preserve">Highest reliability and energy security under combined demand, water, and low-renewable stress.</t>
  </si>
  <si>
    <t xml:space="preserve">Next Actions</t>
  </si>
  <si>
    <t xml:space="preserve">Validate with official data; run expert review of scenario weights; extend to hourly dispatch simulation.</t>
  </si>
  <si>
    <t xml:space="preserve">Scenario Comparison</t>
  </si>
  <si>
    <t xml:space="preserve">Solar + Grid</t>
  </si>
  <si>
    <t xml:space="preserve">KPI Dashboard</t>
  </si>
  <si>
    <t xml:space="preserve">CO2 Reduction (illustrative, vs. 100% gas baseline)</t>
  </si>
  <si>
    <t xml:space="preserve">CO2 Reduction is an illustrative estimate pending a defined generation-mix assumption; all other KPIs are live formulas linked to Decision_Engine.</t>
  </si>
  <si>
    <t xml:space="preserve">Regional Energy Assets</t>
  </si>
  <si>
    <t xml:space="preserve">Region</t>
  </si>
  <si>
    <t xml:space="preserve">Energy Asset</t>
  </si>
  <si>
    <t xml:space="preserve">Riyadh</t>
  </si>
  <si>
    <t xml:space="preserve">Data Centers / High Demand Load Center</t>
  </si>
  <si>
    <t xml:space="preserve">Eastern Province</t>
  </si>
  <si>
    <t xml:space="preserve">Potential Nuclear Site (grid strength, industrial demand)</t>
  </si>
  <si>
    <t xml:space="preserve">NEOM</t>
  </si>
  <si>
    <t xml:space="preserve">Renewables (solar, wind) and green hydrogen</t>
  </si>
  <si>
    <t xml:space="preserve">Jubail</t>
  </si>
  <si>
    <t xml:space="preserve">Desalination and Petrochemical Industrial Load</t>
  </si>
  <si>
    <t xml:space="preserve">Red Sea Coast</t>
  </si>
  <si>
    <t xml:space="preserve">High solar irradiance zone — utility-scale PV</t>
  </si>
  <si>
    <t xml:space="preserve">Explainable AI — Why This Recommendation</t>
  </si>
  <si>
    <t xml:space="preserve">Solar + Nuclear (Combined Stress scenario)</t>
  </si>
  <si>
    <t xml:space="preserve">Reason 1</t>
  </si>
  <si>
    <t xml:space="preserve">Highest reliability score (95/100) — nuclear provides firm baseload independent of weather</t>
  </si>
  <si>
    <t xml:space="preserve">Reason 2</t>
  </si>
  <si>
    <t xml:space="preserve">Strong Energy Security (94/100) — reduces reliance on imported/volatile fuel</t>
  </si>
  <si>
    <t xml:space="preserve">Reason 3</t>
  </si>
  <si>
    <t xml:space="preserve">Best Water Support (92/100) — stable output supports co-located desalination</t>
  </si>
  <si>
    <t xml:space="preserve">Reason 4</t>
  </si>
  <si>
    <t xml:space="preserve">Competitive CO2 performance (89/100) — both solar and nuclear are low-carbon sources</t>
  </si>
  <si>
    <t xml:space="preserve">Trade-off</t>
  </si>
  <si>
    <t xml:space="preserve">Higher upfront capital cost than solar-only; weighted 30% in the Cost criterion, still scored 80/100</t>
  </si>
  <si>
    <t xml:space="preserve">Scenario Input (editable)</t>
  </si>
  <si>
    <t xml:space="preserve">Renewable Share (%)</t>
  </si>
  <si>
    <t xml:space="preserve">Water Demand Index</t>
  </si>
  <si>
    <t xml:space="preserve">Data Center Growth (%)</t>
  </si>
  <si>
    <t xml:space="preserve">Yellow cells are user-editable inputs that feed Scenario_Simulator.</t>
  </si>
  <si>
    <t xml:space="preserve">Results (Live)</t>
  </si>
  <si>
    <t xml:space="preserve">Formula / Value</t>
  </si>
  <si>
    <t xml:space="preserve">Weather &amp; Solar Resource Reference</t>
  </si>
  <si>
    <t xml:space="preserve">National average reference parameters for renewable resource assessment. Replace with live meteorological feeds for hourly/site-specific modelling.</t>
  </si>
  <si>
    <t xml:space="preserve">Average Solar Irradiance (GHI)</t>
  </si>
  <si>
    <t xml:space="preserve">kWh/m2/year</t>
  </si>
  <si>
    <t xml:space="preserve">Among the highest solar resource levels globally</t>
  </si>
  <si>
    <t xml:space="preserve">Average Wind Speed</t>
  </si>
  <si>
    <t xml:space="preserve">m/s</t>
  </si>
  <si>
    <t xml:space="preserve">National average; higher along Red Sea coast and NEOM</t>
  </si>
  <si>
    <t xml:space="preserve">Peak Ambient Temperature</t>
  </si>
  <si>
    <t xml:space="preserve">°C</t>
  </si>
  <si>
    <t xml:space="preserve">Affects thermal plant and PV efficiency derating</t>
  </si>
  <si>
    <t xml:space="preserve">Dust/Soiling Impact on PV</t>
  </si>
  <si>
    <t xml:space="preserve">% output loss (uncleaned)</t>
  </si>
  <si>
    <t xml:space="preserve">Requires regular panel cleaning schedule</t>
  </si>
  <si>
    <t xml:space="preserve">Water Resources Reference</t>
  </si>
  <si>
    <t xml:space="preserve">SWCC — Saudi is a leading desalinated-water producer; linked to Saudi_Data</t>
  </si>
  <si>
    <t xml:space="preserve">Water Demand (national, indicative)</t>
  </si>
  <si>
    <t xml:space="preserve">million m3/day (index)</t>
  </si>
  <si>
    <t xml:space="preserve">Approximated at current desalination capacity; refine with municipal/industrial demand studies</t>
  </si>
  <si>
    <t xml:space="preserve">Desalination Electricity Use</t>
  </si>
  <si>
    <t xml:space="preserve">TWh/year</t>
  </si>
  <si>
    <t xml:space="preserve">Reference estimate — linked to Saudi_Data</t>
  </si>
  <si>
    <t xml:space="preserve">Nuclear Cooling Water Note</t>
  </si>
  <si>
    <t xml:space="preserve">Seawater cooling assumed</t>
  </si>
  <si>
    <t xml:space="preserve">—</t>
  </si>
  <si>
    <t xml:space="preserve">Coastal siting (e.g. Eastern Province) enables seawater cooling, reducing freshwater draw</t>
  </si>
  <si>
    <t xml:space="preserve">Market Data Reference</t>
  </si>
  <si>
    <t xml:space="preserve">Domestic Natural Gas Price (indicative)</t>
  </si>
  <si>
    <t xml:space="preserve">USD/MMBtu</t>
  </si>
  <si>
    <t xml:space="preserve">Indicative regulated domestic price; verify with Saudi Aramco disclosures</t>
  </si>
  <si>
    <t xml:space="preserve">Electricity Tariff (indicative, residential)</t>
  </si>
  <si>
    <t xml:space="preserve">SAR/kWh (low tier)</t>
  </si>
  <si>
    <t xml:space="preserve">Indicative — verify with ECRA published tariff schedule</t>
  </si>
  <si>
    <t xml:space="preserve">Domestic Carbon Price</t>
  </si>
  <si>
    <t xml:space="preserve">USD/tCO2</t>
  </si>
  <si>
    <t xml:space="preserve">No domestic carbon price in effect; global reference ~USD 80–90/tCO2 (EU ETS, 2024)</t>
  </si>
  <si>
    <t xml:space="preserve">Renewable Target 2030</t>
  </si>
  <si>
    <t xml:space="preserve">Lifecycle Carbon Emissions by Source</t>
  </si>
  <si>
    <t xml:space="preserve">Energy Source</t>
  </si>
  <si>
    <t xml:space="preserve">CO2 Intensity (gCO2/kWh)</t>
  </si>
  <si>
    <t xml:space="preserve">Natural Gas (CCGT)</t>
  </si>
  <si>
    <t xml:space="preserve">IPCC AR5 / NREL lifecycle median</t>
  </si>
  <si>
    <t xml:space="preserve">Solar PV</t>
  </si>
  <si>
    <t xml:space="preserve">Wind</t>
  </si>
  <si>
    <t xml:space="preserve">AI Recommendation by Scenario</t>
  </si>
  <si>
    <t xml:space="preserve">Grid Reliability</t>
  </si>
  <si>
    <t xml:space="preserve">Balanced cost and reliability for normal conditions</t>
  </si>
  <si>
    <t xml:space="preserve">Higher firm capacity to meet peak load growth</t>
  </si>
  <si>
    <t xml:space="preserve">Flexible, modular baseload matched to load growth</t>
  </si>
  <si>
    <t xml:space="preserve">Stable baseload directly supports desalination</t>
  </si>
  <si>
    <t xml:space="preserve">SMR compensates for solar/wind intermittency</t>
  </si>
  <si>
    <t xml:space="preserve">Highest reliability, security, and water support under worst-case stress</t>
  </si>
  <si>
    <t xml:space="preserve">Confidence for the Combined Stress recommendation: 89% (based on scenario score margin over next-best strategy).</t>
  </si>
  <si>
    <t xml:space="preserve">Methodology — AI Decision Engine Logic</t>
  </si>
  <si>
    <t xml:space="preserve">Collect Saudi Energy Data</t>
  </si>
  <si>
    <t xml:space="preserve">Description</t>
  </si>
  <si>
    <t xml:space="preserve">Validate Data</t>
  </si>
  <si>
    <t xml:space="preserve">Data Collection: gather nuclear plant, renewable (solar/wind/battery), demand, weather, water availability, and market price data (Saudi_Data, Weather_Data, Water_Resources, Market_Data sheets)</t>
  </si>
  <si>
    <t xml:space="preserve">Forecast Demand</t>
  </si>
  <si>
    <t xml:space="preserve">Data Processing: receive, validate, clean, and normalize incoming data before storage</t>
  </si>
  <si>
    <t xml:space="preserve">Run Scenarios</t>
  </si>
  <si>
    <t xml:space="preserve">AI Forecasting: project electricity demand, solar/wind output, prices, and water availability (AI_Forecast sheet)</t>
  </si>
  <si>
    <t xml:space="preserve">Calculate Decision Score</t>
  </si>
  <si>
    <t xml:space="preserve">AI Decision Engine: analyze demand, nuclear/solar/wind/battery capacity, operating cost, water consumption, carbon emissions, and grid stability (Decision_Engine sheet)</t>
  </si>
  <si>
    <t xml:space="preserve">Generate Recommendation</t>
  </si>
  <si>
    <t xml:space="preserve">Scenario Evaluation: test candidate mixes — Nuclear+Solar, Nuclear+Solar+Wind, Nuclear+Battery, Nuclear+Solar+Wind+Battery — under stress scenarios (Scenario_Simulator sheet)</t>
  </si>
  <si>
    <t xml:space="preserve">Multi-Criteria Optimization: weight cost, reliability, water, emissions, and renewable utilization to compute a Decision Score</t>
  </si>
  <si>
    <t xml:space="preserve">AI Recommendation: output the recommended energy mix with expected cost, water, emissions, and reliability (AI_Recommendation, Results sheets)</t>
  </si>
  <si>
    <t xml:space="preserve">Dashboard: present live energy mix, KPIs, alerts, and forecasts for decision-makers (Dashboard, KPI_Dashboard sheets)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</si>
</sst>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0.0%"/>
    <numFmt numFmtId="168" formatCode="0.00"/>
    <numFmt numFmtId="169" formatCode="0\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3B3B3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Prototype KPI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Dashboard!$G$3:$G$7</c:f>
              <c:strCache>
                <c:ptCount val="5"/>
                <c:pt idx="0">
                  <c:v>Cost</c:v>
                </c:pt>
                <c:pt idx="1">
                  <c:v>Reliability</c:v>
                </c:pt>
                <c:pt idx="2">
                  <c:v>Energy Security</c:v>
                </c:pt>
                <c:pt idx="3">
                  <c:v>Water</c:v>
                </c:pt>
                <c:pt idx="4">
                  <c:v>CO2</c:v>
                </c:pt>
              </c:strCache>
            </c:strRef>
          </c:cat>
          <c:val>
            <c:numRef>
              <c:f>Dashboard!$H$3:$H$7</c:f>
              <c:numCache>
                <c:formatCode>General</c:formatCode>
                <c:ptCount val="5"/>
                <c:pt idx="0">
                  <c:v>80</c:v>
                </c:pt>
                <c:pt idx="1">
                  <c:v>83</c:v>
                </c:pt>
                <c:pt idx="2">
                  <c:v>86</c:v>
                </c:pt>
                <c:pt idx="3">
                  <c:v>92</c:v>
                </c:pt>
                <c:pt idx="4">
                  <c:v>89</c:v>
                </c:pt>
              </c:numCache>
            </c:numRef>
          </c:val>
        </c:ser>
        <c:gapWidth val="150"/>
        <c:overlap val="0"/>
        <c:axId val="18375207"/>
        <c:axId val="71172437"/>
      </c:barChart>
      <c:catAx>
        <c:axId val="18375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72437"/>
        <c:crosses val="autoZero"/>
        <c:auto val="1"/>
        <c:lblAlgn val="ctr"/>
        <c:lblOffset val="100"/>
        <c:noMultiLvlLbl val="0"/>
      </c:catAx>
      <c:valAx>
        <c:axId val="71172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752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Decision Weights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Dashboard!$A$13:$A$17</c:f>
              <c:strCache>
                <c:ptCount val="5"/>
                <c:pt idx="0">
                  <c:v>Weight Allocation (Chart Source)</c:v>
                </c:pt>
                <c:pt idx="1">
                  <c:v>Metric</c:v>
                </c:pt>
                <c:pt idx="2">
                  <c:v>Cost</c:v>
                </c:pt>
                <c:pt idx="3">
                  <c:v>Reliability</c:v>
                </c:pt>
                <c:pt idx="4">
                  <c:v>Energy Security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2">
                  <c:v>30</c:v>
                </c:pt>
                <c:pt idx="3">
                  <c:v>25</c:v>
                </c:pt>
                <c:pt idx="4">
                  <c:v>20</c:v>
                </c:pt>
              </c:numCache>
            </c:numRef>
          </c:val>
        </c:ser>
        <c:gapWidth val="150"/>
        <c:overlap val="0"/>
        <c:axId val="5293977"/>
        <c:axId val="61855283"/>
      </c:barChart>
      <c:catAx>
        <c:axId val="52939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55283"/>
        <c:crosses val="autoZero"/>
        <c:auto val="1"/>
        <c:lblAlgn val="ctr"/>
        <c:lblOffset val="100"/>
        <c:noMultiLvlLbl val="0"/>
      </c:catAx>
      <c:valAx>
        <c:axId val="61855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39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KPI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Dashboard!K2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Dashboard!$J$3:$J$7</c:f>
              <c:strCache>
                <c:ptCount val="5"/>
                <c:pt idx="0">
                  <c:v>Energy Security</c:v>
                </c:pt>
                <c:pt idx="1">
                  <c:v>Reliability</c:v>
                </c:pt>
                <c:pt idx="2">
                  <c:v>CO2 Reduction (illustrative)</c:v>
                </c:pt>
                <c:pt idx="3">
                  <c:v>Decision Score</c:v>
                </c:pt>
                <c:pt idx="4">
                  <c:v>Water Support</c:v>
                </c:pt>
              </c:strCache>
            </c:strRef>
          </c:cat>
          <c:val>
            <c:numRef>
              <c:f>Dashboard!$K$3:$K$7</c:f>
              <c:numCache>
                <c:formatCode>General</c:formatCode>
                <c:ptCount val="5"/>
                <c:pt idx="0">
                  <c:v>86</c:v>
                </c:pt>
                <c:pt idx="1">
                  <c:v>83</c:v>
                </c:pt>
                <c:pt idx="2">
                  <c:v>38</c:v>
                </c:pt>
                <c:pt idx="3">
                  <c:v>84.5</c:v>
                </c:pt>
                <c:pt idx="4">
                  <c:v>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974032"/>
        <c:axId val="41086133"/>
      </c:lineChart>
      <c:catAx>
        <c:axId val="36974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86133"/>
        <c:crosses val="autoZero"/>
        <c:auto val="1"/>
        <c:lblAlgn val="ctr"/>
        <c:lblOffset val="100"/>
        <c:noMultiLvlLbl val="0"/>
      </c:catAx>
      <c:valAx>
        <c:axId val="410861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740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Electricity Demand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AI_Forecast!B2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AI_Forecast!$A$3:$A$7</c:f>
              <c:strCache>
                <c:ptCount val="5"/>
                <c:pt idx="0">
                  <c:v>Year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</c:strCache>
            </c:strRef>
          </c:cat>
          <c:val>
            <c:numRef>
              <c:f>AI_Forecast!$B$3:$B$7</c:f>
              <c:numCache>
                <c:formatCode>General</c:formatCode>
                <c:ptCount val="5"/>
                <c:pt idx="1">
                  <c:v>350</c:v>
                </c:pt>
                <c:pt idx="2">
                  <c:v>410</c:v>
                </c:pt>
                <c:pt idx="3">
                  <c:v>460</c:v>
                </c:pt>
                <c:pt idx="4">
                  <c:v>510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673776"/>
        <c:axId val="60296126"/>
      </c:lineChart>
      <c:catAx>
        <c:axId val="78673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96126"/>
        <c:crosses val="autoZero"/>
        <c:auto val="1"/>
        <c:lblAlgn val="ctr"/>
        <c:lblOffset val="100"/>
        <c:noMultiLvlLbl val="0"/>
      </c:catAx>
      <c:valAx>
        <c:axId val="602961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73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Electricity Demand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AI_Forecast!$A$3:$A$8</c:f>
              <c:strCache>
                <c:ptCount val="6"/>
                <c:pt idx="0">
                  <c:v>Year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</c:strCache>
            </c:strRef>
          </c:cat>
          <c:val>
            <c:numRef>
              <c:f>AI_Forecast!$B$3:$B$8</c:f>
              <c:numCache>
                <c:formatCode>General</c:formatCode>
                <c:ptCount val="6"/>
                <c:pt idx="1">
                  <c:v>350</c:v>
                </c:pt>
                <c:pt idx="2">
                  <c:v>410</c:v>
                </c:pt>
                <c:pt idx="3">
                  <c:v>460</c:v>
                </c:pt>
                <c:pt idx="4">
                  <c:v>510</c:v>
                </c:pt>
                <c:pt idx="5">
                  <c:v>560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339253"/>
        <c:axId val="69210646"/>
      </c:lineChart>
      <c:catAx>
        <c:axId val="803392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10646"/>
        <c:crosses val="autoZero"/>
        <c:auto val="1"/>
        <c:lblAlgn val="ctr"/>
        <c:lblOffset val="100"/>
        <c:noMultiLvlLbl val="0"/>
      </c:catAx>
      <c:valAx>
        <c:axId val="69210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392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AI_Forecast!$A$15:$A$20</c:f>
              <c:strCache>
                <c:ptCount val="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AI_Forecast!$B$15:$B$20</c:f>
              <c:numCache>
                <c:formatCode>General</c:formatCode>
                <c:ptCount val="6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183917"/>
        <c:axId val="90074249"/>
      </c:lineChart>
      <c:catAx>
        <c:axId val="821839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74249"/>
        <c:crosses val="autoZero"/>
        <c:auto val="1"/>
        <c:lblAlgn val="ctr"/>
        <c:lblOffset val="100"/>
        <c:noMultiLvlLbl val="0"/>
      </c:catAx>
      <c:valAx>
        <c:axId val="900742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83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AI_Forecast!B2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AI_Forecast!$A$3:$A$25</c:f>
              <c:strCache>
                <c:ptCount val="23"/>
                <c:pt idx="0">
                  <c:v>Year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strCache>
            </c:strRef>
          </c:cat>
          <c:val>
            <c:numRef>
              <c:f>AI_Forecast!$B$3:$B$25</c:f>
              <c:numCache>
                <c:formatCode>General</c:formatCode>
                <c:ptCount val="23"/>
                <c:pt idx="1">
                  <c:v>350</c:v>
                </c:pt>
                <c:pt idx="2">
                  <c:v>410</c:v>
                </c:pt>
                <c:pt idx="3">
                  <c:v>460</c:v>
                </c:pt>
                <c:pt idx="4">
                  <c:v>510</c:v>
                </c:pt>
                <c:pt idx="5">
                  <c:v>560</c:v>
                </c:pt>
                <c:pt idx="6">
                  <c:v>610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35960"/>
        <c:axId val="47838980"/>
      </c:lineChart>
      <c:catAx>
        <c:axId val="3535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38980"/>
        <c:crosses val="autoZero"/>
        <c:auto val="1"/>
        <c:lblAlgn val="ctr"/>
        <c:lblOffset val="100"/>
        <c:noMultiLvlLbl val="0"/>
      </c:catAx>
      <c:valAx>
        <c:axId val="47838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59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AI_Forecast!$A$2:$A$7</c:f>
              <c:strCache>
                <c:ptCount val="6"/>
                <c:pt idx="0">
                  <c:v>Demand path calibrated to the 2024 GASTAT baseline (340 TWh) trending toward Vision 2030 electrification and data-center growth. Peak load scales from demand using the 2024 peak/consumption ratio.</c:v>
                </c:pt>
                <c:pt idx="1">
                  <c:v>Year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</c:strCache>
            </c:strRef>
          </c:cat>
          <c:val>
            <c:numRef>
              <c:f>AI_Forecast!$B$2:$B$7</c:f>
              <c:numCache>
                <c:formatCode>General</c:formatCode>
                <c:ptCount val="6"/>
                <c:pt idx="2">
                  <c:v>350</c:v>
                </c:pt>
                <c:pt idx="3">
                  <c:v>410</c:v>
                </c:pt>
                <c:pt idx="4">
                  <c:v>460</c:v>
                </c:pt>
                <c:pt idx="5">
                  <c:v>510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835723"/>
        <c:axId val="19703567"/>
      </c:lineChart>
      <c:catAx>
        <c:axId val="238357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03567"/>
        <c:crosses val="autoZero"/>
        <c:auto val="1"/>
        <c:lblAlgn val="ctr"/>
        <c:lblOffset val="100"/>
        <c:noMultiLvlLbl val="0"/>
      </c:catAx>
      <c:valAx>
        <c:axId val="19703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35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AI_Forecast!B1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AI_Forecast!$A$2:$A$7</c:f>
              <c:strCache>
                <c:ptCount val="6"/>
                <c:pt idx="0">
                  <c:v>Demand path calibrated to the 2024 GASTAT baseline (340 TWh) trending toward Vision 2030 electrification and data-center growth. Peak load scales from demand using the 2024 peak/consumption ratio.</c:v>
                </c:pt>
                <c:pt idx="1">
                  <c:v>Year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</c:strCache>
            </c:strRef>
          </c:cat>
          <c:val>
            <c:numRef>
              <c:f>AI_Forecast!$B$2:$B$7</c:f>
              <c:numCache>
                <c:formatCode>General</c:formatCode>
                <c:ptCount val="6"/>
                <c:pt idx="2">
                  <c:v>350</c:v>
                </c:pt>
                <c:pt idx="3">
                  <c:v>410</c:v>
                </c:pt>
                <c:pt idx="4">
                  <c:v>460</c:v>
                </c:pt>
                <c:pt idx="5">
                  <c:v>510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454586"/>
        <c:axId val="1096617"/>
      </c:lineChart>
      <c:catAx>
        <c:axId val="374545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6617"/>
        <c:crosses val="autoZero"/>
        <c:auto val="1"/>
        <c:lblAlgn val="ctr"/>
        <c:lblOffset val="100"/>
        <c:noMultiLvlLbl val="0"/>
      </c:catAx>
      <c:valAx>
        <c:axId val="1096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545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Decision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Results!C1</c:f>
              <c:strCache>
                <c:ptCount val="1"/>
                <c:pt idx="0">
                  <c:v>Decision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Results!$A$2:$A$4</c:f>
              <c:strCache>
                <c:ptCount val="3"/>
                <c:pt idx="0">
                  <c:v>Reference</c:v>
                </c:pt>
                <c:pt idx="1">
                  <c:v>High Demand</c:v>
                </c:pt>
                <c:pt idx="2">
                  <c:v>Combined Stress</c:v>
                </c:pt>
              </c:strCache>
            </c:strRef>
          </c:cat>
          <c:val>
            <c:numRef>
              <c:f>Results!$C$2:$C$4</c:f>
              <c:numCache>
                <c:formatCode>General</c:formatCode>
                <c:ptCount val="3"/>
                <c:pt idx="0">
                  <c:v>88</c:v>
                </c:pt>
                <c:pt idx="1">
                  <c:v>84</c:v>
                </c:pt>
                <c:pt idx="2">
                  <c:v>79</c:v>
                </c:pt>
              </c:numCache>
            </c:numRef>
          </c:val>
        </c:ser>
        <c:gapWidth val="150"/>
        <c:overlap val="0"/>
        <c:axId val="73103728"/>
        <c:axId val="65097560"/>
      </c:barChart>
      <c:catAx>
        <c:axId val="73103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97560"/>
        <c:crosses val="autoZero"/>
        <c:auto val="1"/>
        <c:lblAlgn val="ctr"/>
        <c:lblOffset val="100"/>
        <c:noMultiLvlLbl val="0"/>
      </c:catAx>
      <c:valAx>
        <c:axId val="650975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037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Scenario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Scenario_Comparison!B1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Scenario_Comparison!$A$2:$A$7</c:f>
              <c:strCache>
                <c:ptCount val="6"/>
                <c:pt idx="0">
                  <c:v>Scenario</c:v>
                </c:pt>
                <c:pt idx="1">
                  <c:v>Reference</c:v>
                </c:pt>
                <c:pt idx="2">
                  <c:v>High Electricity Demand</c:v>
                </c:pt>
                <c:pt idx="3">
                  <c:v>High Data Centers</c:v>
                </c:pt>
                <c:pt idx="4">
                  <c:v>High Water Demand</c:v>
                </c:pt>
                <c:pt idx="5">
                  <c:v>Low Renewable Output</c:v>
                </c:pt>
              </c:strCache>
            </c:strRef>
          </c:cat>
          <c:val>
            <c:numRef>
              <c:f>Scenario_Comparison!$B$2:$B$7</c:f>
              <c:numCache>
                <c:formatCode>General</c:formatCode>
                <c:ptCount val="6"/>
                <c:pt idx="1">
                  <c:v>82</c:v>
                </c:pt>
                <c:pt idx="2">
                  <c:v>91</c:v>
                </c:pt>
                <c:pt idx="3">
                  <c:v>88</c:v>
                </c:pt>
                <c:pt idx="4">
                  <c:v>90</c:v>
                </c:pt>
                <c:pt idx="5">
                  <c:v>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877177"/>
        <c:axId val="28402753"/>
      </c:lineChart>
      <c:catAx>
        <c:axId val="488771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02753"/>
        <c:crosses val="autoZero"/>
        <c:auto val="1"/>
        <c:lblAlgn val="ctr"/>
        <c:lblOffset val="100"/>
        <c:noMultiLvlLbl val="0"/>
      </c:catAx>
      <c:valAx>
        <c:axId val="28402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77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Scenario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Scenario_Comparison!B1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Scenario_Comparison!$A$2:$A$7</c:f>
              <c:strCache>
                <c:ptCount val="6"/>
                <c:pt idx="0">
                  <c:v>Scenario</c:v>
                </c:pt>
                <c:pt idx="1">
                  <c:v>Reference</c:v>
                </c:pt>
                <c:pt idx="2">
                  <c:v>High Electricity Demand</c:v>
                </c:pt>
                <c:pt idx="3">
                  <c:v>High Data Centers</c:v>
                </c:pt>
                <c:pt idx="4">
                  <c:v>High Water Demand</c:v>
                </c:pt>
                <c:pt idx="5">
                  <c:v>Low Renewable Output</c:v>
                </c:pt>
              </c:strCache>
            </c:strRef>
          </c:cat>
          <c:val>
            <c:numRef>
              <c:f>Scenario_Comparison!$B$2:$B$7</c:f>
              <c:numCache>
                <c:formatCode>General</c:formatCode>
                <c:ptCount val="6"/>
                <c:pt idx="1">
                  <c:v>82</c:v>
                </c:pt>
                <c:pt idx="2">
                  <c:v>91</c:v>
                </c:pt>
                <c:pt idx="3">
                  <c:v>88</c:v>
                </c:pt>
                <c:pt idx="4">
                  <c:v>90</c:v>
                </c:pt>
                <c:pt idx="5">
                  <c:v>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899037"/>
        <c:axId val="61416028"/>
      </c:lineChart>
      <c:catAx>
        <c:axId val="888990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16028"/>
        <c:crosses val="autoZero"/>
        <c:auto val="1"/>
        <c:lblAlgn val="ctr"/>
        <c:lblOffset val="100"/>
        <c:noMultiLvlLbl val="0"/>
      </c:catAx>
      <c:valAx>
        <c:axId val="61416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990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Scenario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Scenario_Comparison!B1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Scenario_Comparison!$A$2:$A$6</c:f>
              <c:strCache>
                <c:ptCount val="5"/>
                <c:pt idx="0">
                  <c:v>Scenario</c:v>
                </c:pt>
                <c:pt idx="1">
                  <c:v>Reference</c:v>
                </c:pt>
                <c:pt idx="2">
                  <c:v>High Electricity Demand</c:v>
                </c:pt>
                <c:pt idx="3">
                  <c:v>High Data Centers</c:v>
                </c:pt>
                <c:pt idx="4">
                  <c:v>High Water Demand</c:v>
                </c:pt>
              </c:strCache>
            </c:strRef>
          </c:cat>
          <c:val>
            <c:numRef>
              <c:f>Scenario_Comparison!$B$2:$B$6</c:f>
              <c:numCache>
                <c:formatCode>General</c:formatCode>
                <c:ptCount val="5"/>
                <c:pt idx="1">
                  <c:v>82</c:v>
                </c:pt>
                <c:pt idx="2">
                  <c:v>91</c:v>
                </c:pt>
                <c:pt idx="3">
                  <c:v>88</c:v>
                </c:pt>
                <c:pt idx="4">
                  <c:v>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612864"/>
        <c:axId val="65742920"/>
      </c:lineChart>
      <c:catAx>
        <c:axId val="70612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42920"/>
        <c:crosses val="autoZero"/>
        <c:auto val="1"/>
        <c:lblAlgn val="ctr"/>
        <c:lblOffset val="100"/>
        <c:noMultiLvlLbl val="0"/>
      </c:catAx>
      <c:valAx>
        <c:axId val="65742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12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Scenario_Comparison!B1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Scenario_Comparison!$A$2:$A$4</c:f>
              <c:strCache>
                <c:ptCount val="3"/>
                <c:pt idx="0">
                  <c:v>Scenario</c:v>
                </c:pt>
                <c:pt idx="1">
                  <c:v>Reference</c:v>
                </c:pt>
                <c:pt idx="2">
                  <c:v>High Electricity Demand</c:v>
                </c:pt>
              </c:strCache>
            </c:strRef>
          </c:cat>
          <c:val>
            <c:numRef>
              <c:f>Scenario_Comparison!$B$2:$B$4</c:f>
              <c:numCache>
                <c:formatCode>General</c:formatCode>
                <c:ptCount val="3"/>
                <c:pt idx="1">
                  <c:v>82</c:v>
                </c:pt>
                <c:pt idx="2">
                  <c:v>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301433"/>
        <c:axId val="67972527"/>
      </c:lineChart>
      <c:catAx>
        <c:axId val="473014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72527"/>
        <c:crosses val="autoZero"/>
        <c:auto val="1"/>
        <c:lblAlgn val="ctr"/>
        <c:lblOffset val="100"/>
        <c:noMultiLvlLbl val="0"/>
      </c:catAx>
      <c:valAx>
        <c:axId val="679725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01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78120</xdr:rowOff>
    </xdr:from>
    <xdr:to>
      <xdr:col>10</xdr:col>
      <xdr:colOff>567720</xdr:colOff>
      <xdr:row>17</xdr:row>
      <xdr:rowOff>7920</xdr:rowOff>
    </xdr:to>
    <xdr:graphicFrame>
      <xdr:nvGraphicFramePr>
        <xdr:cNvPr id="0" name="Chart 1"/>
        <xdr:cNvGraphicFramePr/>
      </xdr:nvGraphicFramePr>
      <xdr:xfrm>
        <a:off x="4933800" y="1735560"/>
        <a:ext cx="3598560" cy="21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10</xdr:row>
      <xdr:rowOff>268920</xdr:rowOff>
    </xdr:from>
    <xdr:to>
      <xdr:col>10</xdr:col>
      <xdr:colOff>323640</xdr:colOff>
      <xdr:row>20</xdr:row>
      <xdr:rowOff>738360</xdr:rowOff>
    </xdr:to>
    <xdr:graphicFrame>
      <xdr:nvGraphicFramePr>
        <xdr:cNvPr id="1" name="Chart 2"/>
        <xdr:cNvGraphicFramePr/>
      </xdr:nvGraphicFramePr>
      <xdr:xfrm>
        <a:off x="2889720" y="249768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7</xdr:row>
      <xdr:rowOff>78120</xdr:rowOff>
    </xdr:from>
    <xdr:to>
      <xdr:col>16</xdr:col>
      <xdr:colOff>508320</xdr:colOff>
      <xdr:row>19</xdr:row>
      <xdr:rowOff>166680</xdr:rowOff>
    </xdr:to>
    <xdr:graphicFrame>
      <xdr:nvGraphicFramePr>
        <xdr:cNvPr id="2" name="Chart 3"/>
        <xdr:cNvGraphicFramePr/>
      </xdr:nvGraphicFramePr>
      <xdr:xfrm>
        <a:off x="6837120" y="1735560"/>
        <a:ext cx="539856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9</xdr:col>
      <xdr:colOff>135000</xdr:colOff>
      <xdr:row>1</xdr:row>
      <xdr:rowOff>2698560</xdr:rowOff>
    </xdr:to>
    <xdr:graphicFrame>
      <xdr:nvGraphicFramePr>
        <xdr:cNvPr id="3" name="Chart 1"/>
        <xdr:cNvGraphicFramePr/>
      </xdr:nvGraphicFramePr>
      <xdr:xfrm>
        <a:off x="662544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</xdr:row>
      <xdr:rowOff>0</xdr:rowOff>
    </xdr:from>
    <xdr:to>
      <xdr:col>9</xdr:col>
      <xdr:colOff>135000</xdr:colOff>
      <xdr:row>1</xdr:row>
      <xdr:rowOff>2698560</xdr:rowOff>
    </xdr:to>
    <xdr:graphicFrame>
      <xdr:nvGraphicFramePr>
        <xdr:cNvPr id="4" name="Chart 2"/>
        <xdr:cNvGraphicFramePr/>
      </xdr:nvGraphicFramePr>
      <xdr:xfrm>
        <a:off x="662544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1</xdr:row>
      <xdr:rowOff>0</xdr:rowOff>
    </xdr:from>
    <xdr:to>
      <xdr:col>6</xdr:col>
      <xdr:colOff>323640</xdr:colOff>
      <xdr:row>1</xdr:row>
      <xdr:rowOff>2698560</xdr:rowOff>
    </xdr:to>
    <xdr:graphicFrame>
      <xdr:nvGraphicFramePr>
        <xdr:cNvPr id="5" name="Chart 3"/>
        <xdr:cNvGraphicFramePr/>
      </xdr:nvGraphicFramePr>
      <xdr:xfrm>
        <a:off x="310140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1</xdr:row>
      <xdr:rowOff>0</xdr:rowOff>
    </xdr:from>
    <xdr:to>
      <xdr:col>6</xdr:col>
      <xdr:colOff>323640</xdr:colOff>
      <xdr:row>1</xdr:row>
      <xdr:rowOff>2698560</xdr:rowOff>
    </xdr:to>
    <xdr:graphicFrame>
      <xdr:nvGraphicFramePr>
        <xdr:cNvPr id="6" name="Chart 4"/>
        <xdr:cNvGraphicFramePr/>
      </xdr:nvGraphicFramePr>
      <xdr:xfrm>
        <a:off x="310140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1</xdr:row>
      <xdr:rowOff>0</xdr:rowOff>
    </xdr:from>
    <xdr:to>
      <xdr:col>7</xdr:col>
      <xdr:colOff>182880</xdr:colOff>
      <xdr:row>1</xdr:row>
      <xdr:rowOff>2698560</xdr:rowOff>
    </xdr:to>
    <xdr:graphicFrame>
      <xdr:nvGraphicFramePr>
        <xdr:cNvPr id="7" name="Chart 5"/>
        <xdr:cNvGraphicFramePr/>
      </xdr:nvGraphicFramePr>
      <xdr:xfrm>
        <a:off x="451116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1</xdr:row>
      <xdr:rowOff>0</xdr:rowOff>
    </xdr:from>
    <xdr:to>
      <xdr:col>6</xdr:col>
      <xdr:colOff>323640</xdr:colOff>
      <xdr:row>1</xdr:row>
      <xdr:rowOff>2698560</xdr:rowOff>
    </xdr:to>
    <xdr:graphicFrame>
      <xdr:nvGraphicFramePr>
        <xdr:cNvPr id="8" name="Chart 6"/>
        <xdr:cNvGraphicFramePr/>
      </xdr:nvGraphicFramePr>
      <xdr:xfrm>
        <a:off x="310140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507240</xdr:colOff>
      <xdr:row>12</xdr:row>
      <xdr:rowOff>155880</xdr:rowOff>
    </xdr:to>
    <xdr:graphicFrame>
      <xdr:nvGraphicFramePr>
        <xdr:cNvPr id="9" name="Chart 1"/>
        <xdr:cNvGraphicFramePr/>
      </xdr:nvGraphicFramePr>
      <xdr:xfrm>
        <a:off x="12593880" y="27612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9</xdr:col>
      <xdr:colOff>135000</xdr:colOff>
      <xdr:row>14</xdr:row>
      <xdr:rowOff>88560</xdr:rowOff>
    </xdr:to>
    <xdr:graphicFrame>
      <xdr:nvGraphicFramePr>
        <xdr:cNvPr id="10" name="Chart 1"/>
        <xdr:cNvGraphicFramePr/>
      </xdr:nvGraphicFramePr>
      <xdr:xfrm>
        <a:off x="465192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</xdr:row>
      <xdr:rowOff>0</xdr:rowOff>
    </xdr:from>
    <xdr:to>
      <xdr:col>9</xdr:col>
      <xdr:colOff>135000</xdr:colOff>
      <xdr:row>14</xdr:row>
      <xdr:rowOff>88560</xdr:rowOff>
    </xdr:to>
    <xdr:graphicFrame>
      <xdr:nvGraphicFramePr>
        <xdr:cNvPr id="11" name="Chart 2"/>
        <xdr:cNvGraphicFramePr/>
      </xdr:nvGraphicFramePr>
      <xdr:xfrm>
        <a:off x="465192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1</xdr:row>
      <xdr:rowOff>0</xdr:rowOff>
    </xdr:from>
    <xdr:to>
      <xdr:col>7</xdr:col>
      <xdr:colOff>1310400</xdr:colOff>
      <xdr:row>14</xdr:row>
      <xdr:rowOff>88560</xdr:rowOff>
    </xdr:to>
    <xdr:graphicFrame>
      <xdr:nvGraphicFramePr>
        <xdr:cNvPr id="12" name="Chart 3"/>
        <xdr:cNvGraphicFramePr/>
      </xdr:nvGraphicFramePr>
      <xdr:xfrm>
        <a:off x="366516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1</xdr:row>
      <xdr:rowOff>0</xdr:rowOff>
    </xdr:from>
    <xdr:to>
      <xdr:col>9</xdr:col>
      <xdr:colOff>135000</xdr:colOff>
      <xdr:row>14</xdr:row>
      <xdr:rowOff>88560</xdr:rowOff>
    </xdr:to>
    <xdr:graphicFrame>
      <xdr:nvGraphicFramePr>
        <xdr:cNvPr id="13" name="Chart 4"/>
        <xdr:cNvGraphicFramePr/>
      </xdr:nvGraphicFramePr>
      <xdr:xfrm>
        <a:off x="4651920" y="276120"/>
        <a:ext cx="539856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3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3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3"/>
    <col collapsed="false" customWidth="true" hidden="false" outlineLevel="0" max="10" min="10" style="1" width="16"/>
    <col collapsed="false" customWidth="true" hidden="false" outlineLevel="0" max="11" min="11" style="1" width="1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customFormat="false" ht="25.5" hidden="false" customHeight="true" outlineLevel="0" collapsed="false">
      <c r="A2" s="4" t="s">
        <v>1</v>
      </c>
      <c r="B2" s="4" t="s">
        <v>2</v>
      </c>
      <c r="D2" s="4" t="s">
        <v>3</v>
      </c>
      <c r="E2" s="4" t="s">
        <v>2</v>
      </c>
      <c r="G2" s="4" t="s">
        <v>3</v>
      </c>
      <c r="H2" s="4" t="s">
        <v>2</v>
      </c>
      <c r="J2" s="4" t="s">
        <v>4</v>
      </c>
      <c r="K2" s="4" t="s">
        <v>2</v>
      </c>
    </row>
    <row r="3" customFormat="false" ht="15" hidden="false" customHeight="true" outlineLevel="0" collapsed="false">
      <c r="A3" s="5" t="s">
        <v>5</v>
      </c>
      <c r="B3" s="6" t="n">
        <f aca="false">Scenario_Input!B3</f>
        <v>2030</v>
      </c>
      <c r="D3" s="5" t="s">
        <v>6</v>
      </c>
      <c r="E3" s="6" t="n">
        <f aca="false">Decision_Engine!C6</f>
        <v>86</v>
      </c>
      <c r="G3" s="5" t="s">
        <v>7</v>
      </c>
      <c r="H3" s="6" t="n">
        <f aca="false">Decision_Engine!C4</f>
        <v>80</v>
      </c>
      <c r="J3" s="5" t="s">
        <v>6</v>
      </c>
      <c r="K3" s="6" t="n">
        <f aca="false">Decision_Engine!C6</f>
        <v>86</v>
      </c>
    </row>
    <row r="4" customFormat="false" ht="15" hidden="false" customHeight="true" outlineLevel="0" collapsed="false">
      <c r="A4" s="7" t="s">
        <v>8</v>
      </c>
      <c r="B4" s="8" t="s">
        <v>9</v>
      </c>
      <c r="D4" s="7" t="s">
        <v>10</v>
      </c>
      <c r="E4" s="9" t="n">
        <f aca="false">Decision_Engine!B11</f>
        <v>84.5</v>
      </c>
      <c r="G4" s="7" t="s">
        <v>11</v>
      </c>
      <c r="H4" s="10" t="n">
        <f aca="false">Decision_Engine!C5</f>
        <v>83</v>
      </c>
      <c r="J4" s="7" t="s">
        <v>11</v>
      </c>
      <c r="K4" s="10" t="n">
        <f aca="false">Decision_Engine!C5</f>
        <v>83</v>
      </c>
    </row>
    <row r="5" customFormat="false" ht="23.25" hidden="false" customHeight="true" outlineLevel="0" collapsed="false">
      <c r="A5" s="5" t="s">
        <v>10</v>
      </c>
      <c r="B5" s="11" t="n">
        <f aca="false">Decision_Engine!B11</f>
        <v>84.5</v>
      </c>
      <c r="D5" s="5" t="s">
        <v>11</v>
      </c>
      <c r="E5" s="6" t="n">
        <f aca="false">Decision_Engine!C5</f>
        <v>83</v>
      </c>
      <c r="G5" s="5" t="s">
        <v>6</v>
      </c>
      <c r="H5" s="6" t="n">
        <f aca="false">Decision_Engine!C6</f>
        <v>86</v>
      </c>
      <c r="J5" s="5" t="s">
        <v>12</v>
      </c>
      <c r="K5" s="6" t="n">
        <f aca="false">KPI_Dashboard!B5</f>
        <v>38</v>
      </c>
    </row>
    <row r="6" customFormat="false" ht="15" hidden="false" customHeight="true" outlineLevel="0" collapsed="false">
      <c r="A6" s="7" t="s">
        <v>6</v>
      </c>
      <c r="B6" s="10" t="n">
        <f aca="false">Decision_Engine!C6</f>
        <v>86</v>
      </c>
      <c r="D6" s="7" t="s">
        <v>7</v>
      </c>
      <c r="E6" s="10" t="n">
        <f aca="false">Decision_Engine!C4</f>
        <v>80</v>
      </c>
      <c r="G6" s="7" t="s">
        <v>13</v>
      </c>
      <c r="H6" s="10" t="n">
        <f aca="false">Decision_Engine!C8</f>
        <v>92</v>
      </c>
      <c r="J6" s="7" t="s">
        <v>10</v>
      </c>
      <c r="K6" s="9" t="n">
        <f aca="false">Decision_Engine!B11</f>
        <v>84.5</v>
      </c>
    </row>
    <row r="7" customFormat="false" ht="15" hidden="false" customHeight="true" outlineLevel="0" collapsed="false">
      <c r="A7" s="5" t="s">
        <v>11</v>
      </c>
      <c r="B7" s="6" t="n">
        <f aca="false">Decision_Engine!C5</f>
        <v>83</v>
      </c>
      <c r="D7" s="5" t="s">
        <v>14</v>
      </c>
      <c r="E7" s="6" t="n">
        <f aca="false">Decision_Engine!C7</f>
        <v>89</v>
      </c>
      <c r="G7" s="5" t="s">
        <v>15</v>
      </c>
      <c r="H7" s="6" t="n">
        <f aca="false">Decision_Engine!C7</f>
        <v>89</v>
      </c>
      <c r="J7" s="5" t="s">
        <v>16</v>
      </c>
      <c r="K7" s="6" t="n">
        <f aca="false">Decision_Engine!C8</f>
        <v>92</v>
      </c>
    </row>
    <row r="8" customFormat="false" ht="15" hidden="false" customHeight="true" outlineLevel="0" collapsed="false">
      <c r="A8" s="7" t="s">
        <v>7</v>
      </c>
      <c r="B8" s="10" t="n">
        <f aca="false">Decision_Engine!C4</f>
        <v>80</v>
      </c>
      <c r="D8" s="7" t="s">
        <v>17</v>
      </c>
      <c r="E8" s="10" t="n">
        <f aca="false">Decision_Engine!C8</f>
        <v>92</v>
      </c>
    </row>
    <row r="9" customFormat="false" ht="15" hidden="false" customHeight="true" outlineLevel="0" collapsed="false">
      <c r="A9" s="5" t="s">
        <v>18</v>
      </c>
      <c r="B9" s="6" t="str">
        <f aca="false">Generate_Report!B3</f>
        <v>Solar + Nuclear</v>
      </c>
      <c r="D9" s="5" t="s">
        <v>19</v>
      </c>
      <c r="E9" s="12" t="s">
        <v>20</v>
      </c>
    </row>
    <row r="11" customFormat="false" ht="30" hidden="false" customHeight="true" outlineLevel="0" collapsed="false">
      <c r="A11" s="13" t="s">
        <v>18</v>
      </c>
      <c r="B11" s="14" t="str">
        <f aca="false">Generate_Report!B3 &amp; " — " &amp; Generate_Report!B5</f>
        <v>Solar + Nuclear — Highest reliability and energy security under combined demand, water, and low-renewable stress.</v>
      </c>
      <c r="C11" s="14"/>
      <c r="D11" s="14"/>
      <c r="E11" s="14"/>
      <c r="F11" s="14"/>
      <c r="G11" s="14"/>
      <c r="H11" s="14"/>
      <c r="I11" s="14"/>
      <c r="J11" s="14"/>
      <c r="K11" s="14"/>
    </row>
    <row r="13" customFormat="false" ht="15" hidden="false" customHeight="true" outlineLevel="0" collapsed="false">
      <c r="A13" s="13" t="s">
        <v>21</v>
      </c>
    </row>
    <row r="14" customFormat="false" ht="25.5" hidden="false" customHeight="true" outlineLevel="0" collapsed="false">
      <c r="A14" s="4" t="s">
        <v>22</v>
      </c>
      <c r="B14" s="4" t="s">
        <v>23</v>
      </c>
    </row>
    <row r="15" customFormat="false" ht="15" hidden="false" customHeight="true" outlineLevel="0" collapsed="false">
      <c r="A15" s="5" t="s">
        <v>7</v>
      </c>
      <c r="B15" s="6" t="n">
        <f aca="false">Decision_Engine!B4</f>
        <v>30</v>
      </c>
    </row>
    <row r="16" customFormat="false" ht="15" hidden="false" customHeight="true" outlineLevel="0" collapsed="false">
      <c r="A16" s="7" t="s">
        <v>11</v>
      </c>
      <c r="B16" s="10" t="n">
        <f aca="false">Decision_Engine!B5</f>
        <v>25</v>
      </c>
    </row>
    <row r="17" customFormat="false" ht="15" hidden="false" customHeight="true" outlineLevel="0" collapsed="false">
      <c r="A17" s="5" t="s">
        <v>6</v>
      </c>
      <c r="B17" s="6" t="n">
        <f aca="false">Decision_Engine!B6</f>
        <v>20</v>
      </c>
    </row>
    <row r="18" customFormat="false" ht="15" hidden="false" customHeight="true" outlineLevel="0" collapsed="false">
      <c r="A18" s="7" t="s">
        <v>15</v>
      </c>
      <c r="B18" s="10" t="n">
        <f aca="false">Decision_Engine!B7</f>
        <v>15</v>
      </c>
    </row>
    <row r="19" customFormat="false" ht="15" hidden="false" customHeight="true" outlineLevel="0" collapsed="false">
      <c r="A19" s="5" t="s">
        <v>13</v>
      </c>
      <c r="B19" s="6" t="n">
        <f aca="false">Decision_Engine!B8</f>
        <v>10</v>
      </c>
    </row>
    <row r="21" customFormat="false" ht="95.25" hidden="false" customHeight="true" outlineLevel="0" collapsed="false">
      <c r="A21" s="15" t="s">
        <v>24</v>
      </c>
    </row>
  </sheetData>
  <mergeCells count="2">
    <mergeCell ref="A1:H1"/>
    <mergeCell ref="B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8" min="6" style="1" width="22"/>
  </cols>
  <sheetData>
    <row r="1" customFormat="false" ht="21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</row>
    <row r="2" customFormat="false" ht="42.75" hidden="false" customHeight="true" outlineLevel="0" collapsed="false">
      <c r="A2" s="15" t="s">
        <v>26</v>
      </c>
    </row>
    <row r="3" customFormat="false" ht="25.5" hidden="false" customHeight="true" outlineLevel="0" collapsed="false">
      <c r="A3" s="4" t="s">
        <v>27</v>
      </c>
      <c r="B3" s="4" t="s">
        <v>2</v>
      </c>
      <c r="C3" s="4" t="s">
        <v>28</v>
      </c>
      <c r="D3" s="4" t="s">
        <v>5</v>
      </c>
      <c r="E3" s="4" t="s">
        <v>29</v>
      </c>
    </row>
    <row r="4" customFormat="false" ht="23.25" hidden="false" customHeight="true" outlineLevel="0" collapsed="false">
      <c r="A4" s="5" t="s">
        <v>30</v>
      </c>
      <c r="B4" s="12" t="n">
        <v>402</v>
      </c>
      <c r="C4" s="12" t="s">
        <v>31</v>
      </c>
      <c r="D4" s="12" t="n">
        <v>2024</v>
      </c>
      <c r="E4" s="12" t="s">
        <v>32</v>
      </c>
    </row>
    <row r="5" customFormat="false" ht="23.25" hidden="false" customHeight="true" outlineLevel="0" collapsed="false">
      <c r="A5" s="7" t="s">
        <v>33</v>
      </c>
      <c r="B5" s="8" t="n">
        <v>340</v>
      </c>
      <c r="C5" s="8" t="s">
        <v>31</v>
      </c>
      <c r="D5" s="8" t="n">
        <v>2024</v>
      </c>
      <c r="E5" s="8" t="s">
        <v>32</v>
      </c>
    </row>
    <row r="6" customFormat="false" ht="23.25" hidden="false" customHeight="true" outlineLevel="0" collapsed="false">
      <c r="A6" s="5" t="s">
        <v>34</v>
      </c>
      <c r="B6" s="12" t="n">
        <v>78</v>
      </c>
      <c r="C6" s="12" t="s">
        <v>35</v>
      </c>
      <c r="D6" s="12" t="n">
        <v>2024</v>
      </c>
      <c r="E6" s="12" t="s">
        <v>36</v>
      </c>
    </row>
    <row r="7" customFormat="false" ht="15" hidden="false" customHeight="true" outlineLevel="0" collapsed="false">
      <c r="A7" s="7" t="s">
        <v>37</v>
      </c>
      <c r="B7" s="8" t="n">
        <v>38</v>
      </c>
      <c r="C7" s="8" t="s">
        <v>38</v>
      </c>
      <c r="D7" s="8" t="n">
        <v>2024</v>
      </c>
      <c r="E7" s="8" t="s">
        <v>39</v>
      </c>
    </row>
    <row r="8" customFormat="false" ht="15" hidden="false" customHeight="true" outlineLevel="0" collapsed="false">
      <c r="A8" s="5" t="s">
        <v>40</v>
      </c>
      <c r="B8" s="12" t="n">
        <v>100</v>
      </c>
      <c r="C8" s="12" t="s">
        <v>41</v>
      </c>
      <c r="D8" s="12" t="n">
        <v>2024</v>
      </c>
      <c r="E8" s="12" t="s">
        <v>39</v>
      </c>
    </row>
    <row r="9" customFormat="false" ht="23.25" hidden="false" customHeight="true" outlineLevel="0" collapsed="false">
      <c r="A9" s="7" t="s">
        <v>42</v>
      </c>
      <c r="B9" s="8" t="n">
        <v>6.551</v>
      </c>
      <c r="C9" s="8" t="s">
        <v>35</v>
      </c>
      <c r="D9" s="8" t="n">
        <v>2024</v>
      </c>
      <c r="E9" s="8" t="s">
        <v>43</v>
      </c>
    </row>
    <row r="10" customFormat="false" ht="23.25" hidden="false" customHeight="true" outlineLevel="0" collapsed="false">
      <c r="A10" s="5" t="s">
        <v>44</v>
      </c>
      <c r="B10" s="12" t="n">
        <v>6.151</v>
      </c>
      <c r="C10" s="12" t="s">
        <v>35</v>
      </c>
      <c r="D10" s="12" t="n">
        <v>2024</v>
      </c>
      <c r="E10" s="12" t="s">
        <v>43</v>
      </c>
    </row>
    <row r="11" customFormat="false" ht="23.25" hidden="false" customHeight="true" outlineLevel="0" collapsed="false">
      <c r="A11" s="7" t="s">
        <v>45</v>
      </c>
      <c r="B11" s="8" t="n">
        <v>0.4</v>
      </c>
      <c r="C11" s="8" t="s">
        <v>35</v>
      </c>
      <c r="D11" s="8" t="n">
        <v>2024</v>
      </c>
      <c r="E11" s="8" t="s">
        <v>43</v>
      </c>
    </row>
    <row r="12" customFormat="false" ht="23.25" hidden="false" customHeight="true" outlineLevel="0" collapsed="false">
      <c r="A12" s="5" t="s">
        <v>46</v>
      </c>
      <c r="B12" s="12" t="n">
        <v>130</v>
      </c>
      <c r="C12" s="12" t="s">
        <v>35</v>
      </c>
      <c r="D12" s="12" t="n">
        <v>2030</v>
      </c>
      <c r="E12" s="12" t="s">
        <v>47</v>
      </c>
    </row>
    <row r="13" customFormat="false" ht="23.25" hidden="false" customHeight="true" outlineLevel="0" collapsed="false">
      <c r="A13" s="7" t="s">
        <v>48</v>
      </c>
      <c r="B13" s="8" t="n">
        <v>11.5</v>
      </c>
      <c r="C13" s="8" t="s">
        <v>49</v>
      </c>
      <c r="D13" s="8" t="n">
        <v>2024</v>
      </c>
      <c r="E13" s="8" t="s">
        <v>50</v>
      </c>
    </row>
    <row r="14" customFormat="false" ht="15" hidden="false" customHeight="true" outlineLevel="0" collapsed="false">
      <c r="A14" s="5" t="s">
        <v>51</v>
      </c>
      <c r="B14" s="6" t="n">
        <f aca="false">0.06*B5</f>
        <v>20.4</v>
      </c>
      <c r="C14" s="12" t="s">
        <v>31</v>
      </c>
      <c r="D14" s="12" t="n">
        <v>2024</v>
      </c>
      <c r="E14" s="12" t="s">
        <v>52</v>
      </c>
    </row>
    <row r="15" customFormat="false" ht="23.25" hidden="false" customHeight="true" outlineLevel="0" collapsed="false">
      <c r="A15" s="7" t="s">
        <v>53</v>
      </c>
      <c r="B15" s="8" t="n">
        <v>500</v>
      </c>
      <c r="C15" s="8" t="s">
        <v>54</v>
      </c>
      <c r="D15" s="8" t="n">
        <v>2024</v>
      </c>
      <c r="E15" s="8" t="s">
        <v>55</v>
      </c>
    </row>
    <row r="16" customFormat="false" ht="15" hidden="false" customHeight="true" outlineLevel="0" collapsed="false">
      <c r="A16" s="5" t="s">
        <v>56</v>
      </c>
      <c r="B16" s="16" t="n">
        <f aca="false">(B10+B11)/B9</f>
        <v>1</v>
      </c>
      <c r="C16" s="12" t="s">
        <v>41</v>
      </c>
      <c r="D16" s="12" t="n">
        <v>2024</v>
      </c>
      <c r="E16" s="12" t="s">
        <v>57</v>
      </c>
    </row>
    <row r="17" customFormat="false" ht="15" hidden="false" customHeight="false" outlineLevel="0" collapsed="false">
      <c r="A17" s="17" t="s">
        <v>58</v>
      </c>
      <c r="B17" s="18" t="s">
        <v>59</v>
      </c>
      <c r="C17" s="18" t="s">
        <v>41</v>
      </c>
      <c r="D17" s="18" t="n">
        <v>2024</v>
      </c>
      <c r="E17" s="18" t="s">
        <v>60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32"/>
    <col collapsed="false" customWidth="true" hidden="false" outlineLevel="0" max="8" min="7" style="1" width="22"/>
  </cols>
  <sheetData>
    <row r="1" customFormat="false" ht="21.7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</row>
    <row r="3" customFormat="false" ht="23.25" hidden="false" customHeight="true" outlineLevel="0" collapsed="false">
      <c r="A3" s="5" t="s">
        <v>68</v>
      </c>
      <c r="B3" s="12" t="s">
        <v>69</v>
      </c>
      <c r="C3" s="12" t="s">
        <v>70</v>
      </c>
      <c r="D3" s="12" t="s">
        <v>71</v>
      </c>
      <c r="E3" s="12" t="s">
        <v>72</v>
      </c>
      <c r="F3" s="12" t="s">
        <v>73</v>
      </c>
    </row>
    <row r="4" customFormat="false" ht="23.25" hidden="false" customHeight="true" outlineLevel="0" collapsed="false">
      <c r="A4" s="7" t="s">
        <v>74</v>
      </c>
      <c r="B4" s="8" t="s">
        <v>75</v>
      </c>
      <c r="C4" s="8" t="s">
        <v>70</v>
      </c>
      <c r="D4" s="8" t="s">
        <v>71</v>
      </c>
      <c r="E4" s="8" t="s">
        <v>76</v>
      </c>
      <c r="F4" s="8" t="s">
        <v>77</v>
      </c>
    </row>
    <row r="5" customFormat="false" ht="23.25" hidden="false" customHeight="true" outlineLevel="0" collapsed="false">
      <c r="A5" s="5" t="s">
        <v>78</v>
      </c>
      <c r="B5" s="12" t="s">
        <v>79</v>
      </c>
      <c r="C5" s="12" t="s">
        <v>80</v>
      </c>
      <c r="D5" s="12" t="s">
        <v>81</v>
      </c>
      <c r="E5" s="12" t="s">
        <v>82</v>
      </c>
      <c r="F5" s="12" t="s">
        <v>83</v>
      </c>
    </row>
    <row r="7" customFormat="false" ht="84.75" hidden="false" customHeight="true" outlineLevel="0" collapsed="false">
      <c r="A7" s="15" t="s">
        <v>84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8" min="6" style="1" width="22"/>
  </cols>
  <sheetData>
    <row r="1" customFormat="false" ht="21.75" hidden="false" customHeight="true" outlineLevel="0" collapsed="false">
      <c r="A1" s="2" t="s">
        <v>85</v>
      </c>
      <c r="B1" s="2"/>
      <c r="C1" s="2"/>
      <c r="D1" s="2"/>
      <c r="E1" s="2"/>
      <c r="F1" s="2"/>
      <c r="G1" s="2"/>
      <c r="H1" s="2"/>
    </row>
    <row r="2" customFormat="false" ht="220.5" hidden="false" customHeight="true" outlineLevel="0" collapsed="false">
      <c r="A2" s="15" t="s">
        <v>86</v>
      </c>
    </row>
    <row r="3" customFormat="false" ht="25.5" hidden="false" customHeight="true" outlineLevel="0" collapsed="false">
      <c r="A3" s="4" t="s">
        <v>5</v>
      </c>
      <c r="B3" s="4" t="s">
        <v>87</v>
      </c>
      <c r="C3" s="4" t="s">
        <v>88</v>
      </c>
      <c r="D3" s="4" t="s">
        <v>89</v>
      </c>
      <c r="E3" s="4" t="s">
        <v>67</v>
      </c>
    </row>
    <row r="4" customFormat="false" ht="15" hidden="false" customHeight="true" outlineLevel="0" collapsed="false">
      <c r="A4" s="5" t="n">
        <v>2025</v>
      </c>
      <c r="B4" s="12" t="n">
        <v>350</v>
      </c>
      <c r="C4" s="12"/>
      <c r="D4" s="11" t="n">
        <f aca="false">B4*(Saudi_Data!$B$6/Saudi_Data!$B$5)</f>
        <v>80.2941176470588</v>
      </c>
      <c r="E4" s="12" t="s">
        <v>90</v>
      </c>
    </row>
    <row r="5" customFormat="false" ht="15" hidden="false" customHeight="true" outlineLevel="0" collapsed="false">
      <c r="A5" s="7" t="n">
        <v>2030</v>
      </c>
      <c r="B5" s="8" t="n">
        <v>410</v>
      </c>
      <c r="C5" s="19" t="n">
        <f aca="false">(B5-B4)/B4</f>
        <v>0.171428571428571</v>
      </c>
      <c r="D5" s="9" t="n">
        <f aca="false">B5*(Saudi_Data!$B$6/Saudi_Data!$B$5)</f>
        <v>94.0588235294118</v>
      </c>
      <c r="E5" s="8" t="s">
        <v>90</v>
      </c>
    </row>
    <row r="6" customFormat="false" ht="15" hidden="false" customHeight="true" outlineLevel="0" collapsed="false">
      <c r="A6" s="5" t="n">
        <v>2035</v>
      </c>
      <c r="B6" s="12" t="n">
        <v>460</v>
      </c>
      <c r="C6" s="16" t="n">
        <f aca="false">(B6-B5)/B5</f>
        <v>0.121951219512195</v>
      </c>
      <c r="D6" s="11" t="n">
        <f aca="false">B6*(Saudi_Data!$B$6/Saudi_Data!$B$5)</f>
        <v>105.529411764706</v>
      </c>
      <c r="E6" s="12" t="s">
        <v>90</v>
      </c>
    </row>
    <row r="7" customFormat="false" ht="15" hidden="false" customHeight="true" outlineLevel="0" collapsed="false">
      <c r="A7" s="7" t="n">
        <v>2040</v>
      </c>
      <c r="B7" s="8" t="n">
        <v>510</v>
      </c>
      <c r="C7" s="19" t="n">
        <f aca="false">(B7-B6)/B6</f>
        <v>0.108695652173913</v>
      </c>
      <c r="D7" s="9" t="n">
        <f aca="false">B7*(Saudi_Data!$B$6/Saudi_Data!$B$5)</f>
        <v>117</v>
      </c>
      <c r="E7" s="8" t="s">
        <v>90</v>
      </c>
    </row>
    <row r="8" customFormat="false" ht="15" hidden="false" customHeight="true" outlineLevel="0" collapsed="false">
      <c r="A8" s="5" t="n">
        <v>2045</v>
      </c>
      <c r="B8" s="12" t="n">
        <v>560</v>
      </c>
      <c r="C8" s="16" t="n">
        <f aca="false">(B8-B7)/B7</f>
        <v>0.0980392156862745</v>
      </c>
      <c r="D8" s="11" t="n">
        <f aca="false">B8*(Saudi_Data!$B$6/Saudi_Data!$B$5)</f>
        <v>128.470588235294</v>
      </c>
      <c r="E8" s="12" t="s">
        <v>90</v>
      </c>
    </row>
    <row r="9" customFormat="false" ht="15" hidden="false" customHeight="true" outlineLevel="0" collapsed="false">
      <c r="A9" s="7" t="n">
        <v>2050</v>
      </c>
      <c r="B9" s="8" t="n">
        <v>610</v>
      </c>
      <c r="C9" s="19" t="n">
        <f aca="false">(B9-B8)/B8</f>
        <v>0.0892857142857143</v>
      </c>
      <c r="D9" s="9" t="n">
        <f aca="false">B9*(Saudi_Data!$B$6/Saudi_Data!$B$5)</f>
        <v>139.941176470588</v>
      </c>
      <c r="E9" s="8" t="s">
        <v>90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8" min="6" style="1" width="22"/>
  </cols>
  <sheetData>
    <row r="1" customFormat="false" ht="21.75" hidden="false" customHeight="true" outlineLevel="0" collapsed="false">
      <c r="A1" s="2" t="s">
        <v>91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4" t="s">
        <v>8</v>
      </c>
      <c r="B2" s="4" t="s">
        <v>92</v>
      </c>
      <c r="C2" s="4" t="s">
        <v>13</v>
      </c>
      <c r="D2" s="4" t="s">
        <v>93</v>
      </c>
      <c r="E2" s="4" t="s">
        <v>94</v>
      </c>
    </row>
    <row r="3" customFormat="false" ht="15" hidden="false" customHeight="true" outlineLevel="0" collapsed="false">
      <c r="A3" s="5" t="s">
        <v>95</v>
      </c>
      <c r="B3" s="20" t="n">
        <v>1</v>
      </c>
      <c r="C3" s="20" t="n">
        <v>1</v>
      </c>
      <c r="D3" s="20" t="n">
        <v>1</v>
      </c>
      <c r="E3" s="12" t="s">
        <v>96</v>
      </c>
    </row>
    <row r="4" customFormat="false" ht="15" hidden="false" customHeight="true" outlineLevel="0" collapsed="false">
      <c r="A4" s="7" t="s">
        <v>97</v>
      </c>
      <c r="B4" s="21" t="n">
        <v>1.2</v>
      </c>
      <c r="C4" s="21" t="n">
        <v>1</v>
      </c>
      <c r="D4" s="21" t="n">
        <v>1</v>
      </c>
      <c r="E4" s="8" t="s">
        <v>98</v>
      </c>
    </row>
    <row r="5" customFormat="false" ht="15" hidden="false" customHeight="true" outlineLevel="0" collapsed="false">
      <c r="A5" s="5" t="s">
        <v>99</v>
      </c>
      <c r="B5" s="20" t="n">
        <v>1.1</v>
      </c>
      <c r="C5" s="20" t="n">
        <v>1</v>
      </c>
      <c r="D5" s="20" t="n">
        <v>1.5</v>
      </c>
      <c r="E5" s="12" t="s">
        <v>98</v>
      </c>
    </row>
    <row r="6" customFormat="false" ht="15" hidden="false" customHeight="true" outlineLevel="0" collapsed="false">
      <c r="A6" s="7" t="s">
        <v>100</v>
      </c>
      <c r="B6" s="21" t="n">
        <v>1.1</v>
      </c>
      <c r="C6" s="21" t="n">
        <v>1.3</v>
      </c>
      <c r="D6" s="21" t="n">
        <v>1</v>
      </c>
      <c r="E6" s="8" t="s">
        <v>98</v>
      </c>
    </row>
    <row r="7" customFormat="false" ht="15" hidden="false" customHeight="true" outlineLevel="0" collapsed="false">
      <c r="A7" s="5" t="s">
        <v>101</v>
      </c>
      <c r="B7" s="20" t="n">
        <v>1.1</v>
      </c>
      <c r="C7" s="20" t="n">
        <v>1</v>
      </c>
      <c r="D7" s="20" t="n">
        <v>0.7</v>
      </c>
      <c r="E7" s="12" t="s">
        <v>98</v>
      </c>
    </row>
    <row r="8" customFormat="false" ht="15" hidden="false" customHeight="true" outlineLevel="0" collapsed="false">
      <c r="A8" s="7" t="s">
        <v>9</v>
      </c>
      <c r="B8" s="21" t="n">
        <v>1.25</v>
      </c>
      <c r="C8" s="21" t="n">
        <v>1.3</v>
      </c>
      <c r="D8" s="21" t="n">
        <v>0.7</v>
      </c>
      <c r="E8" s="8" t="s">
        <v>98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4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22"/>
  </cols>
  <sheetData>
    <row r="1" customFormat="false" ht="21.75" hidden="false" customHeight="true" outlineLevel="0" collapsed="false">
      <c r="A1" s="2" t="s">
        <v>102</v>
      </c>
      <c r="B1" s="2"/>
      <c r="C1" s="2"/>
      <c r="D1" s="2"/>
      <c r="E1" s="2"/>
      <c r="F1" s="2"/>
      <c r="G1" s="2"/>
      <c r="H1" s="2"/>
    </row>
    <row r="2" customFormat="false" ht="105.75" hidden="false" customHeight="true" outlineLevel="0" collapsed="false">
      <c r="A2" s="15" t="s">
        <v>103</v>
      </c>
    </row>
    <row r="3" customFormat="false" ht="25.5" hidden="false" customHeight="true" outlineLevel="0" collapsed="false">
      <c r="A3" s="4" t="s">
        <v>22</v>
      </c>
      <c r="B3" s="4" t="s">
        <v>23</v>
      </c>
      <c r="C3" s="4" t="s">
        <v>104</v>
      </c>
      <c r="D3" s="4" t="s">
        <v>105</v>
      </c>
    </row>
    <row r="4" customFormat="false" ht="15" hidden="false" customHeight="true" outlineLevel="0" collapsed="false">
      <c r="A4" s="5" t="s">
        <v>7</v>
      </c>
      <c r="B4" s="12" t="n">
        <v>30</v>
      </c>
      <c r="C4" s="12" t="n">
        <v>80</v>
      </c>
      <c r="D4" s="6" t="n">
        <f aca="false">B4*C4/100</f>
        <v>24</v>
      </c>
    </row>
    <row r="5" customFormat="false" ht="15" hidden="false" customHeight="true" outlineLevel="0" collapsed="false">
      <c r="A5" s="7" t="s">
        <v>11</v>
      </c>
      <c r="B5" s="8" t="n">
        <v>25</v>
      </c>
      <c r="C5" s="8" t="n">
        <v>83</v>
      </c>
      <c r="D5" s="10" t="n">
        <f aca="false">B5*C5/100</f>
        <v>20.75</v>
      </c>
    </row>
    <row r="6" customFormat="false" ht="15" hidden="false" customHeight="true" outlineLevel="0" collapsed="false">
      <c r="A6" s="5" t="s">
        <v>6</v>
      </c>
      <c r="B6" s="12" t="n">
        <v>20</v>
      </c>
      <c r="C6" s="12" t="n">
        <v>86</v>
      </c>
      <c r="D6" s="6" t="n">
        <f aca="false">B6*C6/100</f>
        <v>17.2</v>
      </c>
    </row>
    <row r="7" customFormat="false" ht="15" hidden="false" customHeight="true" outlineLevel="0" collapsed="false">
      <c r="A7" s="7" t="s">
        <v>106</v>
      </c>
      <c r="B7" s="8" t="n">
        <v>15</v>
      </c>
      <c r="C7" s="8" t="n">
        <v>89</v>
      </c>
      <c r="D7" s="10" t="n">
        <f aca="false">B7*C7/100</f>
        <v>13.35</v>
      </c>
    </row>
    <row r="8" customFormat="false" ht="15" hidden="false" customHeight="true" outlineLevel="0" collapsed="false">
      <c r="A8" s="5" t="s">
        <v>16</v>
      </c>
      <c r="B8" s="12" t="n">
        <v>10</v>
      </c>
      <c r="C8" s="12" t="n">
        <v>92</v>
      </c>
      <c r="D8" s="6" t="n">
        <f aca="false">B8*C8/100</f>
        <v>9.2</v>
      </c>
    </row>
    <row r="9" customFormat="false" ht="15" hidden="false" customHeight="true" outlineLevel="0" collapsed="false">
      <c r="A9" s="22" t="s">
        <v>107</v>
      </c>
      <c r="B9" s="23" t="n">
        <f aca="false">SUM(B4:B8)</f>
        <v>100</v>
      </c>
    </row>
    <row r="11" customFormat="false" ht="15" hidden="false" customHeight="true" outlineLevel="0" collapsed="false">
      <c r="A11" s="13" t="s">
        <v>10</v>
      </c>
      <c r="B11" s="24" t="n">
        <f aca="false">SUM(D4:D8)</f>
        <v>84.5</v>
      </c>
    </row>
    <row r="12" customFormat="false" ht="15" hidden="false" customHeight="true" outlineLevel="0" collapsed="false">
      <c r="A12" s="22" t="s">
        <v>108</v>
      </c>
      <c r="B12" s="25" t="n">
        <f aca="false">SUMPRODUCT(B4:B8,C4:C8)/100</f>
        <v>84.5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8" min="5" style="1" width="22"/>
  </cols>
  <sheetData>
    <row r="1" customFormat="false" ht="21.75" hidden="false" customHeight="true" outlineLevel="0" collapsed="false">
      <c r="A1" s="3" t="s">
        <v>8</v>
      </c>
      <c r="B1" s="1" t="s">
        <v>109</v>
      </c>
      <c r="C1" s="1" t="s">
        <v>10</v>
      </c>
      <c r="D1" s="1" t="s">
        <v>7</v>
      </c>
      <c r="E1" s="1" t="s">
        <v>11</v>
      </c>
      <c r="F1" s="1" t="s">
        <v>6</v>
      </c>
      <c r="G1" s="1" t="s">
        <v>15</v>
      </c>
      <c r="H1" s="1" t="s">
        <v>18</v>
      </c>
    </row>
    <row r="2" customFormat="false" ht="25.5" hidden="false" customHeight="true" outlineLevel="0" collapsed="false">
      <c r="A2" s="4" t="s">
        <v>95</v>
      </c>
      <c r="B2" s="4" t="s">
        <v>110</v>
      </c>
      <c r="C2" s="4" t="n">
        <v>88</v>
      </c>
      <c r="D2" s="4" t="n">
        <v>72</v>
      </c>
      <c r="E2" s="1" t="n">
        <v>92</v>
      </c>
      <c r="F2" s="1" t="n">
        <v>90</v>
      </c>
      <c r="G2" s="1" t="n">
        <v>12</v>
      </c>
      <c r="H2" s="1" t="s">
        <v>111</v>
      </c>
    </row>
    <row r="3" customFormat="false" ht="15" hidden="false" customHeight="true" outlineLevel="0" collapsed="false">
      <c r="A3" s="5" t="s">
        <v>112</v>
      </c>
      <c r="B3" s="12" t="s">
        <v>113</v>
      </c>
      <c r="C3" s="12" t="n">
        <v>84</v>
      </c>
      <c r="D3" s="12" t="n">
        <v>78</v>
      </c>
      <c r="E3" s="1" t="n">
        <v>91</v>
      </c>
      <c r="F3" s="1" t="n">
        <v>88</v>
      </c>
      <c r="G3" s="1" t="n">
        <v>15</v>
      </c>
      <c r="H3" s="1" t="s">
        <v>111</v>
      </c>
    </row>
    <row r="4" customFormat="false" ht="15" hidden="false" customHeight="true" outlineLevel="0" collapsed="false">
      <c r="A4" s="7" t="s">
        <v>9</v>
      </c>
      <c r="B4" s="8" t="s">
        <v>114</v>
      </c>
      <c r="C4" s="8" t="n">
        <v>79</v>
      </c>
      <c r="D4" s="8" t="n">
        <v>82</v>
      </c>
      <c r="E4" s="1" t="n">
        <v>84</v>
      </c>
      <c r="F4" s="1" t="n">
        <v>81</v>
      </c>
      <c r="G4" s="1" t="n">
        <v>20</v>
      </c>
      <c r="H4" s="1" t="s">
        <v>115</v>
      </c>
    </row>
    <row r="5" customFormat="false" ht="15" hidden="false" customHeight="true" outlineLevel="0" collapsed="false">
      <c r="A5" s="5" t="s">
        <v>99</v>
      </c>
      <c r="B5" s="12" t="s">
        <v>116</v>
      </c>
      <c r="C5" s="12" t="n">
        <v>88</v>
      </c>
      <c r="D5" s="12" t="s">
        <v>117</v>
      </c>
    </row>
    <row r="6" customFormat="false" ht="23.25" hidden="false" customHeight="true" outlineLevel="0" collapsed="false">
      <c r="A6" s="7" t="s">
        <v>100</v>
      </c>
      <c r="B6" s="8" t="s">
        <v>118</v>
      </c>
      <c r="C6" s="8" t="n">
        <v>90</v>
      </c>
      <c r="D6" s="8" t="s">
        <v>119</v>
      </c>
    </row>
    <row r="7" customFormat="false" ht="23.25" hidden="false" customHeight="true" outlineLevel="0" collapsed="false">
      <c r="A7" s="5" t="s">
        <v>101</v>
      </c>
      <c r="B7" s="12" t="s">
        <v>116</v>
      </c>
      <c r="C7" s="12" t="n">
        <v>86</v>
      </c>
      <c r="D7" s="12" t="s">
        <v>120</v>
      </c>
    </row>
    <row r="8" customFormat="false" ht="23.25" hidden="false" customHeight="true" outlineLevel="0" collapsed="false">
      <c r="A8" s="26" t="s">
        <v>9</v>
      </c>
      <c r="B8" s="27" t="s">
        <v>110</v>
      </c>
      <c r="C8" s="27" t="n">
        <v>93</v>
      </c>
      <c r="D8" s="27" t="s">
        <v>121</v>
      </c>
    </row>
  </sheetData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  <col collapsed="false" customWidth="true" hidden="false" outlineLevel="0" max="4" min="4" style="1" width="34"/>
    <col collapsed="false" customWidth="true" hidden="false" outlineLevel="0" max="8" min="5" style="1" width="22"/>
  </cols>
  <sheetData>
    <row r="1" customFormat="false" ht="21.75" hidden="false" customHeight="true" outlineLevel="0" collapsed="false">
      <c r="A1" s="2" t="s">
        <v>122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4" t="s">
        <v>123</v>
      </c>
      <c r="B2" s="4" t="s">
        <v>124</v>
      </c>
      <c r="C2" s="4" t="s">
        <v>125</v>
      </c>
      <c r="D2" s="4" t="s">
        <v>126</v>
      </c>
    </row>
    <row r="3" customFormat="false" ht="23.25" hidden="false" customHeight="true" outlineLevel="0" collapsed="false">
      <c r="A3" s="5" t="s">
        <v>127</v>
      </c>
      <c r="B3" s="12" t="s">
        <v>128</v>
      </c>
      <c r="C3" s="12" t="s">
        <v>129</v>
      </c>
      <c r="D3" s="12" t="s">
        <v>130</v>
      </c>
    </row>
    <row r="4" customFormat="false" ht="23.25" hidden="false" customHeight="true" outlineLevel="0" collapsed="false">
      <c r="A4" s="7" t="s">
        <v>131</v>
      </c>
      <c r="B4" s="8" t="s">
        <v>132</v>
      </c>
      <c r="C4" s="8" t="s">
        <v>129</v>
      </c>
      <c r="D4" s="8" t="s">
        <v>133</v>
      </c>
    </row>
    <row r="5" customFormat="false" ht="23.25" hidden="false" customHeight="true" outlineLevel="0" collapsed="false">
      <c r="A5" s="5" t="s">
        <v>134</v>
      </c>
      <c r="B5" s="12" t="s">
        <v>128</v>
      </c>
      <c r="C5" s="12" t="s">
        <v>128</v>
      </c>
      <c r="D5" s="12" t="s">
        <v>135</v>
      </c>
    </row>
    <row r="6" customFormat="false" ht="23.25" hidden="false" customHeight="true" outlineLevel="0" collapsed="false">
      <c r="A6" s="7" t="s">
        <v>136</v>
      </c>
      <c r="B6" s="8" t="s">
        <v>128</v>
      </c>
      <c r="C6" s="8" t="s">
        <v>128</v>
      </c>
      <c r="D6" s="8" t="s">
        <v>137</v>
      </c>
    </row>
    <row r="7" customFormat="false" ht="23.25" hidden="false" customHeight="true" outlineLevel="0" collapsed="false">
      <c r="A7" s="5" t="s">
        <v>138</v>
      </c>
      <c r="B7" s="12" t="s">
        <v>128</v>
      </c>
      <c r="C7" s="12" t="s">
        <v>129</v>
      </c>
      <c r="D7" s="12" t="s">
        <v>139</v>
      </c>
    </row>
    <row r="8" customFormat="false" ht="23.25" hidden="false" customHeight="true" outlineLevel="0" collapsed="false">
      <c r="A8" s="7" t="s">
        <v>140</v>
      </c>
      <c r="B8" s="8" t="s">
        <v>129</v>
      </c>
      <c r="C8" s="8" t="s">
        <v>128</v>
      </c>
      <c r="D8" s="8" t="s">
        <v>141</v>
      </c>
    </row>
    <row r="9" customFormat="false" ht="23.25" hidden="false" customHeight="true" outlineLevel="0" collapsed="false">
      <c r="A9" s="5" t="s">
        <v>142</v>
      </c>
      <c r="B9" s="12" t="s">
        <v>128</v>
      </c>
      <c r="C9" s="12" t="s">
        <v>128</v>
      </c>
      <c r="D9" s="12" t="s">
        <v>143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8" min="5" style="1" width="22"/>
  </cols>
  <sheetData>
    <row r="1" customFormat="false" ht="21.7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  <c r="H1" s="2"/>
    </row>
    <row r="2" customFormat="false" ht="42.75" hidden="false" customHeight="true" outlineLevel="0" collapsed="false">
      <c r="A2" s="15" t="s">
        <v>145</v>
      </c>
    </row>
    <row r="3" customFormat="false" ht="25.5" hidden="false" customHeight="true" outlineLevel="0" collapsed="false">
      <c r="A3" s="4" t="s">
        <v>146</v>
      </c>
      <c r="B3" s="4" t="s">
        <v>147</v>
      </c>
      <c r="C3" s="4" t="s">
        <v>148</v>
      </c>
      <c r="D3" s="4" t="s">
        <v>149</v>
      </c>
    </row>
    <row r="4" customFormat="false" ht="15" hidden="false" customHeight="true" outlineLevel="0" collapsed="false">
      <c r="A4" s="5" t="s">
        <v>150</v>
      </c>
      <c r="B4" s="12" t="s">
        <v>151</v>
      </c>
      <c r="C4" s="12" t="s">
        <v>152</v>
      </c>
      <c r="D4" s="12" t="s">
        <v>153</v>
      </c>
    </row>
    <row r="5" customFormat="false" ht="23.25" hidden="false" customHeight="true" outlineLevel="0" collapsed="false">
      <c r="A5" s="7" t="s">
        <v>154</v>
      </c>
      <c r="B5" s="8" t="s">
        <v>155</v>
      </c>
      <c r="C5" s="8" t="s">
        <v>156</v>
      </c>
      <c r="D5" s="8" t="s">
        <v>157</v>
      </c>
    </row>
    <row r="6" customFormat="false" ht="23.25" hidden="false" customHeight="true" outlineLevel="0" collapsed="false">
      <c r="A6" s="5" t="s">
        <v>154</v>
      </c>
      <c r="B6" s="12" t="s">
        <v>158</v>
      </c>
      <c r="C6" s="12" t="s">
        <v>159</v>
      </c>
      <c r="D6" s="12" t="s">
        <v>160</v>
      </c>
    </row>
    <row r="7" customFormat="false" ht="15" hidden="false" customHeight="true" outlineLevel="0" collapsed="false">
      <c r="A7" s="7" t="s">
        <v>161</v>
      </c>
      <c r="B7" s="8" t="s">
        <v>162</v>
      </c>
      <c r="C7" s="8" t="s">
        <v>163</v>
      </c>
      <c r="D7" s="8" t="s">
        <v>164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8" min="4" style="1" width="22"/>
  </cols>
  <sheetData>
    <row r="1" customFormat="false" ht="21.75" hidden="false" customHeight="true" outlineLevel="0" collapsed="false">
      <c r="A1" s="2" t="s">
        <v>165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4" t="s">
        <v>166</v>
      </c>
      <c r="B2" s="4" t="s">
        <v>95</v>
      </c>
      <c r="C2" s="4" t="s">
        <v>67</v>
      </c>
    </row>
    <row r="3" customFormat="false" ht="15" hidden="false" customHeight="true" outlineLevel="0" collapsed="false">
      <c r="A3" s="5" t="s">
        <v>39</v>
      </c>
      <c r="B3" s="12" t="s">
        <v>167</v>
      </c>
      <c r="C3" s="12" t="s">
        <v>168</v>
      </c>
    </row>
    <row r="4" customFormat="false" ht="15" hidden="false" customHeight="true" outlineLevel="0" collapsed="false">
      <c r="A4" s="7" t="s">
        <v>39</v>
      </c>
      <c r="B4" s="8" t="s">
        <v>169</v>
      </c>
      <c r="C4" s="8" t="s">
        <v>170</v>
      </c>
    </row>
    <row r="5" customFormat="false" ht="23.25" hidden="false" customHeight="true" outlineLevel="0" collapsed="false">
      <c r="A5" s="5" t="s">
        <v>171</v>
      </c>
      <c r="B5" s="12" t="s">
        <v>172</v>
      </c>
      <c r="C5" s="12" t="s">
        <v>173</v>
      </c>
    </row>
    <row r="6" customFormat="false" ht="23.25" hidden="false" customHeight="true" outlineLevel="0" collapsed="false">
      <c r="A6" s="7" t="s">
        <v>171</v>
      </c>
      <c r="B6" s="8" t="s">
        <v>174</v>
      </c>
      <c r="C6" s="8" t="s">
        <v>175</v>
      </c>
    </row>
    <row r="7" customFormat="false" ht="23.25" hidden="false" customHeight="true" outlineLevel="0" collapsed="false">
      <c r="A7" s="5" t="s">
        <v>176</v>
      </c>
      <c r="B7" s="12" t="s">
        <v>177</v>
      </c>
      <c r="C7" s="12" t="s">
        <v>178</v>
      </c>
    </row>
    <row r="8" customFormat="false" ht="23.25" hidden="false" customHeight="true" outlineLevel="0" collapsed="false">
      <c r="A8" s="7" t="s">
        <v>179</v>
      </c>
      <c r="B8" s="8" t="s">
        <v>180</v>
      </c>
      <c r="C8" s="8" t="s">
        <v>181</v>
      </c>
    </row>
    <row r="9" customFormat="false" ht="23.25" hidden="false" customHeight="true" outlineLevel="0" collapsed="false">
      <c r="A9" s="5" t="s">
        <v>182</v>
      </c>
      <c r="B9" s="12" t="s">
        <v>183</v>
      </c>
      <c r="C9" s="12" t="s">
        <v>184</v>
      </c>
    </row>
    <row r="10" customFormat="false" ht="23.25" hidden="false" customHeight="true" outlineLevel="0" collapsed="false">
      <c r="A10" s="7" t="s">
        <v>185</v>
      </c>
      <c r="B10" s="8" t="s">
        <v>186</v>
      </c>
      <c r="C10" s="8" t="s">
        <v>187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34"/>
    <col collapsed="false" customWidth="true" hidden="false" outlineLevel="0" max="8" min="5" style="1" width="22"/>
  </cols>
  <sheetData>
    <row r="1" customFormat="false" ht="21.75" hidden="false" customHeight="true" outlineLevel="0" collapsed="false">
      <c r="A1" s="2" t="s">
        <v>188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4" t="s">
        <v>189</v>
      </c>
      <c r="B2" s="4" t="s">
        <v>190</v>
      </c>
      <c r="C2" s="4" t="s">
        <v>191</v>
      </c>
      <c r="D2" s="4" t="s">
        <v>192</v>
      </c>
    </row>
    <row r="3" customFormat="false" ht="15" hidden="false" customHeight="true" outlineLevel="0" collapsed="false">
      <c r="A3" s="5" t="s">
        <v>193</v>
      </c>
      <c r="B3" s="12" t="s">
        <v>10</v>
      </c>
      <c r="C3" s="12" t="s">
        <v>194</v>
      </c>
      <c r="D3" s="12" t="s">
        <v>195</v>
      </c>
    </row>
    <row r="4" customFormat="false" ht="15" hidden="false" customHeight="true" outlineLevel="0" collapsed="false">
      <c r="A4" s="7" t="s">
        <v>196</v>
      </c>
      <c r="B4" s="8" t="s">
        <v>8</v>
      </c>
      <c r="C4" s="8" t="s">
        <v>197</v>
      </c>
      <c r="D4" s="8" t="s">
        <v>198</v>
      </c>
    </row>
    <row r="5" customFormat="false" ht="15" hidden="false" customHeight="true" outlineLevel="0" collapsed="false">
      <c r="A5" s="5" t="s">
        <v>199</v>
      </c>
      <c r="B5" s="12" t="s">
        <v>18</v>
      </c>
      <c r="C5" s="12" t="s">
        <v>200</v>
      </c>
      <c r="D5" s="12" t="s">
        <v>201</v>
      </c>
    </row>
    <row r="6" customFormat="false" ht="23.25" hidden="false" customHeight="true" outlineLevel="0" collapsed="false">
      <c r="A6" s="7" t="s">
        <v>202</v>
      </c>
      <c r="B6" s="8" t="s">
        <v>23</v>
      </c>
      <c r="C6" s="8" t="s">
        <v>203</v>
      </c>
      <c r="D6" s="8" t="s">
        <v>204</v>
      </c>
    </row>
    <row r="7" customFormat="false" ht="15" hidden="false" customHeight="true" outlineLevel="0" collapsed="false">
      <c r="A7" s="5" t="s">
        <v>205</v>
      </c>
      <c r="B7" s="12" t="s">
        <v>206</v>
      </c>
      <c r="C7" s="12" t="s">
        <v>207</v>
      </c>
      <c r="D7" s="12" t="s">
        <v>208</v>
      </c>
    </row>
    <row r="8" customFormat="false" ht="15" hidden="false" customHeight="true" outlineLevel="0" collapsed="false">
      <c r="A8" s="7" t="s">
        <v>209</v>
      </c>
      <c r="B8" s="8" t="s">
        <v>210</v>
      </c>
      <c r="C8" s="8" t="s">
        <v>211</v>
      </c>
      <c r="D8" s="8" t="s">
        <v>212</v>
      </c>
    </row>
    <row r="9" customFormat="false" ht="23.25" hidden="false" customHeight="true" outlineLevel="0" collapsed="false">
      <c r="A9" s="5" t="s">
        <v>213</v>
      </c>
      <c r="B9" s="12" t="s">
        <v>65</v>
      </c>
      <c r="C9" s="12" t="s">
        <v>214</v>
      </c>
      <c r="D9" s="12" t="s">
        <v>215</v>
      </c>
    </row>
    <row r="10" customFormat="false" ht="23.25" hidden="false" customHeight="true" outlineLevel="0" collapsed="false">
      <c r="A10" s="7" t="s">
        <v>216</v>
      </c>
      <c r="B10" s="8" t="s">
        <v>217</v>
      </c>
      <c r="C10" s="8" t="s">
        <v>218</v>
      </c>
      <c r="D10" s="8" t="s">
        <v>219</v>
      </c>
    </row>
    <row r="11" customFormat="false" ht="23.25" hidden="false" customHeight="true" outlineLevel="0" collapsed="false">
      <c r="A11" s="5" t="s">
        <v>220</v>
      </c>
      <c r="B11" s="12" t="s">
        <v>126</v>
      </c>
      <c r="C11" s="12" t="s">
        <v>221</v>
      </c>
      <c r="D11" s="12" t="s">
        <v>222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0"/>
  </cols>
  <sheetData>
    <row r="1" customFormat="false" ht="21.75" hidden="false" customHeight="true" outlineLevel="0" collapsed="false">
      <c r="A1" s="3" t="s">
        <v>223</v>
      </c>
      <c r="B1" s="3"/>
    </row>
    <row r="2" customFormat="false" ht="33.75" hidden="false" customHeight="true" outlineLevel="0" collapsed="false">
      <c r="A2" s="5" t="s">
        <v>224</v>
      </c>
      <c r="B2" s="12" t="s">
        <v>225</v>
      </c>
    </row>
    <row r="3" customFormat="false" ht="33.75" hidden="false" customHeight="true" outlineLevel="0" collapsed="false">
      <c r="A3" s="7" t="s">
        <v>226</v>
      </c>
      <c r="B3" s="8" t="s">
        <v>227</v>
      </c>
    </row>
    <row r="4" customFormat="false" ht="33.75" hidden="false" customHeight="true" outlineLevel="0" collapsed="false">
      <c r="A4" s="5" t="s">
        <v>228</v>
      </c>
      <c r="B4" s="12" t="s">
        <v>229</v>
      </c>
    </row>
    <row r="5" customFormat="false" ht="33.75" hidden="false" customHeight="true" outlineLevel="0" collapsed="false">
      <c r="A5" s="7" t="s">
        <v>230</v>
      </c>
      <c r="B5" s="8" t="s">
        <v>231</v>
      </c>
    </row>
    <row r="6" customFormat="false" ht="33.75" hidden="false" customHeight="true" outlineLevel="0" collapsed="false">
      <c r="A6" s="5" t="s">
        <v>232</v>
      </c>
      <c r="B6" s="12" t="s">
        <v>233</v>
      </c>
    </row>
    <row r="7" customFormat="false" ht="33.75" hidden="false" customHeight="true" outlineLevel="0" collapsed="false">
      <c r="A7" s="7" t="s">
        <v>234</v>
      </c>
      <c r="B7" s="8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0"/>
  </cols>
  <sheetData>
    <row r="1" customFormat="false" ht="21.75" hidden="false" customHeight="true" outlineLevel="0" collapsed="false">
      <c r="A1" s="3" t="s">
        <v>236</v>
      </c>
      <c r="B1" s="3"/>
    </row>
    <row r="2" customFormat="false" ht="25.5" hidden="false" customHeight="true" outlineLevel="0" collapsed="false">
      <c r="A2" s="4" t="s">
        <v>237</v>
      </c>
      <c r="B2" s="4" t="s">
        <v>238</v>
      </c>
    </row>
    <row r="3" customFormat="false" ht="23.25" hidden="false" customHeight="true" outlineLevel="0" collapsed="false">
      <c r="A3" s="5" t="s">
        <v>239</v>
      </c>
      <c r="B3" s="12" t="s">
        <v>240</v>
      </c>
    </row>
    <row r="4" customFormat="false" ht="23.25" hidden="false" customHeight="true" outlineLevel="0" collapsed="false">
      <c r="A4" s="7" t="s">
        <v>241</v>
      </c>
      <c r="B4" s="8" t="s">
        <v>242</v>
      </c>
    </row>
    <row r="5" customFormat="false" ht="23.25" hidden="false" customHeight="true" outlineLevel="0" collapsed="false">
      <c r="A5" s="5" t="s">
        <v>243</v>
      </c>
      <c r="B5" s="12" t="s">
        <v>244</v>
      </c>
    </row>
    <row r="6" customFormat="false" ht="23.25" hidden="false" customHeight="true" outlineLevel="0" collapsed="false">
      <c r="A6" s="7" t="s">
        <v>245</v>
      </c>
      <c r="B6" s="8" t="s">
        <v>246</v>
      </c>
    </row>
    <row r="7" customFormat="false" ht="15" hidden="false" customHeight="true" outlineLevel="0" collapsed="false">
      <c r="A7" s="5" t="s">
        <v>247</v>
      </c>
      <c r="B7" s="12" t="s">
        <v>248</v>
      </c>
    </row>
    <row r="8" customFormat="false" ht="23.25" hidden="false" customHeight="true" outlineLevel="0" collapsed="false">
      <c r="A8" s="7" t="s">
        <v>249</v>
      </c>
      <c r="B8" s="8" t="s">
        <v>250</v>
      </c>
    </row>
    <row r="9" customFormat="false" ht="34.5" hidden="false" customHeight="true" outlineLevel="0" collapsed="false">
      <c r="A9" s="5" t="s">
        <v>251</v>
      </c>
      <c r="B9" s="12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0"/>
  </cols>
  <sheetData>
    <row r="1" customFormat="false" ht="21.75" hidden="false" customHeight="true" outlineLevel="0" collapsed="false">
      <c r="A1" s="3" t="s">
        <v>253</v>
      </c>
      <c r="B1" s="3"/>
    </row>
    <row r="2" customFormat="false" ht="25.5" hidden="false" customHeight="true" outlineLevel="0" collapsed="false">
      <c r="A2" s="4" t="s">
        <v>254</v>
      </c>
      <c r="B2" s="4" t="s">
        <v>255</v>
      </c>
    </row>
    <row r="3" customFormat="false" ht="23.25" hidden="false" customHeight="true" outlineLevel="0" collapsed="false">
      <c r="A3" s="5" t="s">
        <v>256</v>
      </c>
      <c r="B3" s="27" t="s">
        <v>257</v>
      </c>
    </row>
    <row r="4" customFormat="false" ht="23.25" hidden="false" customHeight="true" outlineLevel="0" collapsed="false">
      <c r="A4" s="7" t="s">
        <v>258</v>
      </c>
      <c r="B4" s="27" t="s">
        <v>259</v>
      </c>
    </row>
    <row r="5" customFormat="false" ht="23.25" hidden="false" customHeight="true" outlineLevel="0" collapsed="false">
      <c r="A5" s="5" t="s">
        <v>260</v>
      </c>
      <c r="B5" s="28" t="s">
        <v>261</v>
      </c>
    </row>
    <row r="6" customFormat="false" ht="23.25" hidden="false" customHeight="true" outlineLevel="0" collapsed="false">
      <c r="A6" s="7" t="s">
        <v>262</v>
      </c>
      <c r="B6" s="27" t="s">
        <v>263</v>
      </c>
    </row>
    <row r="7" customFormat="false" ht="34.5" hidden="false" customHeight="true" outlineLevel="0" collapsed="false">
      <c r="A7" s="5" t="s">
        <v>264</v>
      </c>
      <c r="B7" s="27" t="s">
        <v>265</v>
      </c>
    </row>
    <row r="8" customFormat="false" ht="23.25" hidden="false" customHeight="true" outlineLevel="0" collapsed="false">
      <c r="A8" s="7" t="s">
        <v>266</v>
      </c>
      <c r="B8" s="28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5"/>
  </cols>
  <sheetData>
    <row r="1" customFormat="false" ht="21.75" hidden="false" customHeight="true" outlineLevel="0" collapsed="false">
      <c r="A1" s="3" t="s">
        <v>268</v>
      </c>
      <c r="B1" s="3"/>
    </row>
    <row r="2" customFormat="false" ht="30" hidden="false" customHeight="true" outlineLevel="0" collapsed="false">
      <c r="A2" s="5" t="s">
        <v>269</v>
      </c>
      <c r="B2" s="12" t="s">
        <v>9</v>
      </c>
    </row>
    <row r="3" customFormat="false" ht="30" hidden="false" customHeight="true" outlineLevel="0" collapsed="false">
      <c r="A3" s="7" t="s">
        <v>270</v>
      </c>
      <c r="B3" s="8" t="s">
        <v>110</v>
      </c>
    </row>
    <row r="4" customFormat="false" ht="30" hidden="false" customHeight="true" outlineLevel="0" collapsed="false">
      <c r="A4" s="5" t="s">
        <v>10</v>
      </c>
      <c r="B4" s="11" t="n">
        <f aca="false">Decision_Engine!B11</f>
        <v>84.5</v>
      </c>
    </row>
    <row r="5" customFormat="false" ht="30" hidden="false" customHeight="true" outlineLevel="0" collapsed="false">
      <c r="A5" s="7" t="s">
        <v>271</v>
      </c>
      <c r="B5" s="8" t="s">
        <v>272</v>
      </c>
    </row>
    <row r="6" customFormat="false" ht="30" hidden="false" customHeight="true" outlineLevel="0" collapsed="false">
      <c r="A6" s="5" t="s">
        <v>273</v>
      </c>
      <c r="B6" s="12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4"/>
    <col collapsed="false" customWidth="true" hidden="false" outlineLevel="0" max="6" min="5" style="1" width="12"/>
    <col collapsed="false" customWidth="true" hidden="false" outlineLevel="0" max="7" min="7" style="1" width="20"/>
    <col collapsed="false" customWidth="true" hidden="false" outlineLevel="0" max="8" min="8" style="1" width="22"/>
  </cols>
  <sheetData>
    <row r="1" customFormat="false" ht="21.75" hidden="false" customHeight="true" outlineLevel="0" collapsed="false">
      <c r="A1" s="3" t="s">
        <v>275</v>
      </c>
      <c r="B1" s="3"/>
      <c r="C1" s="3"/>
      <c r="D1" s="3"/>
      <c r="E1" s="3"/>
      <c r="F1" s="3"/>
      <c r="G1" s="3"/>
    </row>
    <row r="2" customFormat="false" ht="25.5" hidden="false" customHeight="true" outlineLevel="0" collapsed="false">
      <c r="A2" s="4" t="s">
        <v>8</v>
      </c>
      <c r="B2" s="4" t="s">
        <v>10</v>
      </c>
      <c r="C2" s="4" t="s">
        <v>6</v>
      </c>
      <c r="D2" s="4" t="s">
        <v>11</v>
      </c>
      <c r="E2" s="4" t="s">
        <v>14</v>
      </c>
      <c r="F2" s="4" t="s">
        <v>17</v>
      </c>
      <c r="G2" s="4" t="s">
        <v>270</v>
      </c>
    </row>
    <row r="3" customFormat="false" ht="15" hidden="false" customHeight="true" outlineLevel="0" collapsed="false">
      <c r="A3" s="5" t="s">
        <v>95</v>
      </c>
      <c r="B3" s="12" t="n">
        <v>82</v>
      </c>
      <c r="C3" s="12" t="n">
        <v>85</v>
      </c>
      <c r="D3" s="12" t="n">
        <v>88</v>
      </c>
      <c r="E3" s="12" t="n">
        <v>80</v>
      </c>
      <c r="F3" s="12" t="n">
        <v>78</v>
      </c>
      <c r="G3" s="12" t="s">
        <v>276</v>
      </c>
    </row>
    <row r="4" customFormat="false" ht="15" hidden="false" customHeight="true" outlineLevel="0" collapsed="false">
      <c r="A4" s="7" t="s">
        <v>97</v>
      </c>
      <c r="B4" s="8" t="n">
        <v>91</v>
      </c>
      <c r="C4" s="8" t="n">
        <v>90</v>
      </c>
      <c r="D4" s="8" t="n">
        <v>92</v>
      </c>
      <c r="E4" s="8" t="n">
        <v>78</v>
      </c>
      <c r="F4" s="8" t="n">
        <v>80</v>
      </c>
      <c r="G4" s="8" t="s">
        <v>110</v>
      </c>
    </row>
    <row r="5" customFormat="false" ht="15" hidden="false" customHeight="true" outlineLevel="0" collapsed="false">
      <c r="A5" s="5" t="s">
        <v>99</v>
      </c>
      <c r="B5" s="12" t="n">
        <v>88</v>
      </c>
      <c r="C5" s="12" t="n">
        <v>89</v>
      </c>
      <c r="D5" s="12" t="n">
        <v>90</v>
      </c>
      <c r="E5" s="12" t="n">
        <v>79</v>
      </c>
      <c r="F5" s="12" t="n">
        <v>82</v>
      </c>
      <c r="G5" s="12" t="s">
        <v>116</v>
      </c>
    </row>
    <row r="6" customFormat="false" ht="15" hidden="false" customHeight="true" outlineLevel="0" collapsed="false">
      <c r="A6" s="7" t="s">
        <v>100</v>
      </c>
      <c r="B6" s="8" t="n">
        <v>90</v>
      </c>
      <c r="C6" s="8" t="n">
        <v>91</v>
      </c>
      <c r="D6" s="8" t="n">
        <v>89</v>
      </c>
      <c r="E6" s="8" t="n">
        <v>77</v>
      </c>
      <c r="F6" s="8" t="n">
        <v>90</v>
      </c>
      <c r="G6" s="8" t="s">
        <v>118</v>
      </c>
    </row>
    <row r="7" customFormat="false" ht="15" hidden="false" customHeight="true" outlineLevel="0" collapsed="false">
      <c r="A7" s="5" t="s">
        <v>101</v>
      </c>
      <c r="B7" s="12" t="n">
        <v>86</v>
      </c>
      <c r="C7" s="12" t="n">
        <v>93</v>
      </c>
      <c r="D7" s="12" t="n">
        <v>85</v>
      </c>
      <c r="E7" s="12" t="n">
        <v>75</v>
      </c>
      <c r="F7" s="12" t="n">
        <v>80</v>
      </c>
      <c r="G7" s="12" t="s">
        <v>116</v>
      </c>
    </row>
    <row r="8" customFormat="false" ht="15" hidden="false" customHeight="true" outlineLevel="0" collapsed="false">
      <c r="A8" s="26" t="s">
        <v>9</v>
      </c>
      <c r="B8" s="27" t="n">
        <v>93</v>
      </c>
      <c r="C8" s="27" t="n">
        <v>94</v>
      </c>
      <c r="D8" s="27" t="n">
        <v>95</v>
      </c>
      <c r="E8" s="27" t="n">
        <v>89</v>
      </c>
      <c r="F8" s="27" t="n">
        <v>92</v>
      </c>
      <c r="G8" s="2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4"/>
  </cols>
  <sheetData>
    <row r="1" customFormat="false" ht="21.75" hidden="false" customHeight="true" outlineLevel="0" collapsed="false">
      <c r="A1" s="3" t="s">
        <v>277</v>
      </c>
      <c r="B1" s="3"/>
      <c r="C1" s="3"/>
    </row>
    <row r="2" customFormat="false" ht="25.5" hidden="false" customHeight="true" outlineLevel="0" collapsed="false">
      <c r="A2" s="4" t="s">
        <v>3</v>
      </c>
      <c r="B2" s="4" t="s">
        <v>2</v>
      </c>
      <c r="C2" s="4" t="s">
        <v>255</v>
      </c>
    </row>
    <row r="3" customFormat="false" ht="15" hidden="false" customHeight="true" outlineLevel="0" collapsed="false">
      <c r="A3" s="5" t="s">
        <v>6</v>
      </c>
      <c r="B3" s="6" t="n">
        <f aca="false">Decision_Engine!C6</f>
        <v>86</v>
      </c>
      <c r="C3" s="6" t="str">
        <f aca="false">IF(B3&gt;=85,"Excellent",IF(B3&gt;=70,"Good","Needs Attention"))</f>
        <v>Excellent</v>
      </c>
    </row>
    <row r="4" customFormat="false" ht="15" hidden="false" customHeight="true" outlineLevel="0" collapsed="false">
      <c r="A4" s="7" t="s">
        <v>11</v>
      </c>
      <c r="B4" s="10" t="n">
        <f aca="false">Decision_Engine!C5</f>
        <v>83</v>
      </c>
      <c r="C4" s="10" t="str">
        <f aca="false">IF(B4&gt;=85,"Excellent",IF(B4&gt;=70,"Good","Needs Attention"))</f>
        <v>Good</v>
      </c>
    </row>
    <row r="5" customFormat="false" ht="34.5" hidden="false" customHeight="true" outlineLevel="0" collapsed="false">
      <c r="A5" s="5" t="s">
        <v>278</v>
      </c>
      <c r="B5" s="12" t="n">
        <v>38</v>
      </c>
      <c r="C5" s="6" t="str">
        <f aca="false">"Good"</f>
        <v>Good</v>
      </c>
    </row>
    <row r="6" customFormat="false" ht="15" hidden="false" customHeight="true" outlineLevel="0" collapsed="false">
      <c r="A6" s="7" t="s">
        <v>10</v>
      </c>
      <c r="B6" s="9" t="n">
        <f aca="false">Decision_Engine!B11</f>
        <v>84.5</v>
      </c>
      <c r="C6" s="10" t="str">
        <f aca="false">IF(B6&gt;=85,"Excellent",IF(B6&gt;=70,"Good","Needs Attention"))</f>
        <v>Good</v>
      </c>
    </row>
    <row r="8" customFormat="false" ht="74.25" hidden="false" customHeight="true" outlineLevel="0" collapsed="false">
      <c r="A8" s="15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</cols>
  <sheetData>
    <row r="1" customFormat="false" ht="21.75" hidden="false" customHeight="true" outlineLevel="0" collapsed="false">
      <c r="A1" s="3" t="s">
        <v>280</v>
      </c>
      <c r="B1" s="3"/>
    </row>
    <row r="2" customFormat="false" ht="25.5" hidden="false" customHeight="true" outlineLevel="0" collapsed="false">
      <c r="A2" s="4" t="s">
        <v>281</v>
      </c>
      <c r="B2" s="4" t="s">
        <v>282</v>
      </c>
    </row>
    <row r="3" customFormat="false" ht="23.25" hidden="false" customHeight="true" outlineLevel="0" collapsed="false">
      <c r="A3" s="5" t="s">
        <v>283</v>
      </c>
      <c r="B3" s="12" t="s">
        <v>284</v>
      </c>
    </row>
    <row r="4" customFormat="false" ht="23.25" hidden="false" customHeight="true" outlineLevel="0" collapsed="false">
      <c r="A4" s="7" t="s">
        <v>285</v>
      </c>
      <c r="B4" s="8" t="s">
        <v>286</v>
      </c>
    </row>
    <row r="5" customFormat="false" ht="23.25" hidden="false" customHeight="true" outlineLevel="0" collapsed="false">
      <c r="A5" s="5" t="s">
        <v>287</v>
      </c>
      <c r="B5" s="12" t="s">
        <v>288</v>
      </c>
    </row>
    <row r="6" customFormat="false" ht="23.25" hidden="false" customHeight="true" outlineLevel="0" collapsed="false">
      <c r="A6" s="7" t="s">
        <v>289</v>
      </c>
      <c r="B6" s="8" t="s">
        <v>290</v>
      </c>
    </row>
    <row r="7" customFormat="false" ht="23.25" hidden="false" customHeight="true" outlineLevel="0" collapsed="false">
      <c r="A7" s="5" t="s">
        <v>291</v>
      </c>
      <c r="B7" s="12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5"/>
  </cols>
  <sheetData>
    <row r="1" customFormat="false" ht="21.75" hidden="false" customHeight="true" outlineLevel="0" collapsed="false">
      <c r="A1" s="3" t="s">
        <v>293</v>
      </c>
      <c r="B1" s="3"/>
    </row>
    <row r="2" customFormat="false" ht="27.75" hidden="false" customHeight="true" outlineLevel="0" collapsed="false">
      <c r="A2" s="5" t="s">
        <v>270</v>
      </c>
      <c r="B2" s="12" t="s">
        <v>294</v>
      </c>
    </row>
    <row r="3" customFormat="false" ht="27.75" hidden="false" customHeight="true" outlineLevel="0" collapsed="false">
      <c r="A3" s="7" t="s">
        <v>295</v>
      </c>
      <c r="B3" s="8" t="s">
        <v>296</v>
      </c>
    </row>
    <row r="4" customFormat="false" ht="27.75" hidden="false" customHeight="true" outlineLevel="0" collapsed="false">
      <c r="A4" s="5" t="s">
        <v>297</v>
      </c>
      <c r="B4" s="12" t="s">
        <v>298</v>
      </c>
    </row>
    <row r="5" customFormat="false" ht="27.75" hidden="false" customHeight="true" outlineLevel="0" collapsed="false">
      <c r="A5" s="7" t="s">
        <v>299</v>
      </c>
      <c r="B5" s="8" t="s">
        <v>300</v>
      </c>
    </row>
    <row r="6" customFormat="false" ht="27.75" hidden="false" customHeight="true" outlineLevel="0" collapsed="false">
      <c r="A6" s="5" t="s">
        <v>301</v>
      </c>
      <c r="B6" s="12" t="s">
        <v>302</v>
      </c>
    </row>
    <row r="7" customFormat="false" ht="27.75" hidden="false" customHeight="true" outlineLevel="0" collapsed="false">
      <c r="A7" s="7" t="s">
        <v>303</v>
      </c>
      <c r="B7" s="8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</cols>
  <sheetData>
    <row r="1" customFormat="false" ht="21.75" hidden="false" customHeight="true" outlineLevel="0" collapsed="false">
      <c r="A1" s="3" t="s">
        <v>305</v>
      </c>
      <c r="B1" s="3"/>
    </row>
    <row r="2" customFormat="false" ht="25.5" hidden="false" customHeight="true" outlineLevel="0" collapsed="false">
      <c r="A2" s="4" t="s">
        <v>146</v>
      </c>
      <c r="B2" s="4" t="s">
        <v>2</v>
      </c>
    </row>
    <row r="3" customFormat="false" ht="15" hidden="false" customHeight="true" outlineLevel="0" collapsed="false">
      <c r="A3" s="5" t="s">
        <v>5</v>
      </c>
      <c r="B3" s="28" t="n">
        <v>2030</v>
      </c>
    </row>
    <row r="4" customFormat="false" ht="15" hidden="false" customHeight="true" outlineLevel="0" collapsed="false">
      <c r="A4" s="7" t="s">
        <v>8</v>
      </c>
      <c r="B4" s="28" t="s">
        <v>95</v>
      </c>
    </row>
    <row r="5" customFormat="false" ht="15" hidden="false" customHeight="true" outlineLevel="0" collapsed="false">
      <c r="A5" s="5" t="s">
        <v>92</v>
      </c>
      <c r="B5" s="28" t="n">
        <v>1</v>
      </c>
    </row>
    <row r="6" customFormat="false" ht="15" hidden="false" customHeight="true" outlineLevel="0" collapsed="false">
      <c r="A6" s="7" t="s">
        <v>306</v>
      </c>
      <c r="B6" s="28" t="n">
        <v>50</v>
      </c>
    </row>
    <row r="7" customFormat="false" ht="15" hidden="false" customHeight="true" outlineLevel="0" collapsed="false">
      <c r="A7" s="5" t="s">
        <v>307</v>
      </c>
      <c r="B7" s="28" t="n">
        <v>100</v>
      </c>
    </row>
    <row r="8" customFormat="false" ht="15" hidden="false" customHeight="true" outlineLevel="0" collapsed="false">
      <c r="A8" s="7" t="s">
        <v>308</v>
      </c>
      <c r="B8" s="28" t="n">
        <v>10</v>
      </c>
    </row>
    <row r="10" customFormat="false" ht="32.25" hidden="false" customHeight="true" outlineLevel="0" collapsed="false">
      <c r="A10" s="15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</cols>
  <sheetData>
    <row r="1" customFormat="false" ht="21.75" hidden="false" customHeight="true" outlineLevel="0" collapsed="false">
      <c r="A1" s="3" t="s">
        <v>310</v>
      </c>
      <c r="B1" s="3"/>
    </row>
    <row r="2" customFormat="false" ht="25.5" hidden="false" customHeight="true" outlineLevel="0" collapsed="false">
      <c r="A2" s="4" t="s">
        <v>22</v>
      </c>
      <c r="B2" s="4" t="s">
        <v>311</v>
      </c>
    </row>
    <row r="3" customFormat="false" ht="15" hidden="false" customHeight="true" outlineLevel="0" collapsed="false">
      <c r="A3" s="5" t="s">
        <v>10</v>
      </c>
      <c r="B3" s="11" t="n">
        <f aca="false">Decision_Engine!B11</f>
        <v>84.5</v>
      </c>
    </row>
    <row r="4" customFormat="false" ht="15" hidden="false" customHeight="true" outlineLevel="0" collapsed="false">
      <c r="A4" s="7" t="s">
        <v>6</v>
      </c>
      <c r="B4" s="10" t="n">
        <f aca="false">Decision_Engine!C6</f>
        <v>86</v>
      </c>
    </row>
    <row r="5" customFormat="false" ht="15" hidden="false" customHeight="true" outlineLevel="0" collapsed="false">
      <c r="A5" s="5" t="s">
        <v>11</v>
      </c>
      <c r="B5" s="6" t="n">
        <f aca="false">Decision_Engine!C5</f>
        <v>83</v>
      </c>
    </row>
    <row r="6" customFormat="false" ht="15" hidden="false" customHeight="true" outlineLevel="0" collapsed="false">
      <c r="A6" s="7" t="s">
        <v>14</v>
      </c>
      <c r="B6" s="10" t="n">
        <f aca="false">Decision_Engine!C7</f>
        <v>89</v>
      </c>
    </row>
    <row r="7" customFormat="false" ht="15" hidden="false" customHeight="true" outlineLevel="0" collapsed="false">
      <c r="A7" s="5" t="s">
        <v>18</v>
      </c>
      <c r="B7" s="6" t="str">
        <f aca="false">Generate_Report!B3</f>
        <v>Solar + Nuclear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3" t="s">
        <v>312</v>
      </c>
      <c r="B1" s="3"/>
      <c r="C1" s="3"/>
      <c r="D1" s="3"/>
    </row>
    <row r="2" customFormat="false" ht="53.25" hidden="false" customHeight="true" outlineLevel="0" collapsed="false">
      <c r="A2" s="15" t="s">
        <v>313</v>
      </c>
    </row>
    <row r="3" customFormat="false" ht="25.5" hidden="false" customHeight="true" outlineLevel="0" collapsed="false">
      <c r="A3" s="4" t="s">
        <v>146</v>
      </c>
      <c r="B3" s="4" t="s">
        <v>2</v>
      </c>
      <c r="C3" s="4" t="s">
        <v>28</v>
      </c>
      <c r="D3" s="4" t="s">
        <v>67</v>
      </c>
    </row>
    <row r="4" customFormat="false" ht="23.25" hidden="false" customHeight="true" outlineLevel="0" collapsed="false">
      <c r="A4" s="5" t="s">
        <v>314</v>
      </c>
      <c r="B4" s="12" t="n">
        <v>2200</v>
      </c>
      <c r="C4" s="12" t="s">
        <v>315</v>
      </c>
      <c r="D4" s="12" t="s">
        <v>316</v>
      </c>
    </row>
    <row r="5" customFormat="false" ht="23.25" hidden="false" customHeight="true" outlineLevel="0" collapsed="false">
      <c r="A5" s="7" t="s">
        <v>317</v>
      </c>
      <c r="B5" s="8" t="n">
        <v>6.5</v>
      </c>
      <c r="C5" s="8" t="s">
        <v>318</v>
      </c>
      <c r="D5" s="8" t="s">
        <v>319</v>
      </c>
    </row>
    <row r="6" customFormat="false" ht="23.25" hidden="false" customHeight="true" outlineLevel="0" collapsed="false">
      <c r="A6" s="5" t="s">
        <v>320</v>
      </c>
      <c r="B6" s="12" t="n">
        <v>45</v>
      </c>
      <c r="C6" s="12" t="s">
        <v>321</v>
      </c>
      <c r="D6" s="12" t="s">
        <v>322</v>
      </c>
    </row>
    <row r="7" customFormat="false" ht="23.25" hidden="false" customHeight="true" outlineLevel="0" collapsed="false">
      <c r="A7" s="7" t="s">
        <v>323</v>
      </c>
      <c r="B7" s="8" t="n">
        <v>15</v>
      </c>
      <c r="C7" s="8" t="s">
        <v>324</v>
      </c>
      <c r="D7" s="8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3" t="s">
        <v>326</v>
      </c>
      <c r="B1" s="3"/>
      <c r="C1" s="3"/>
      <c r="D1" s="3"/>
    </row>
    <row r="2" customFormat="false" ht="25.5" hidden="false" customHeight="true" outlineLevel="0" collapsed="false">
      <c r="A2" s="4" t="s">
        <v>146</v>
      </c>
      <c r="B2" s="4" t="s">
        <v>2</v>
      </c>
      <c r="C2" s="4" t="s">
        <v>28</v>
      </c>
      <c r="D2" s="4" t="s">
        <v>67</v>
      </c>
    </row>
    <row r="3" customFormat="false" ht="34.5" hidden="false" customHeight="true" outlineLevel="0" collapsed="false">
      <c r="A3" s="5" t="s">
        <v>48</v>
      </c>
      <c r="B3" s="6" t="n">
        <f aca="false">Saudi_Data!B13</f>
        <v>11.5</v>
      </c>
      <c r="C3" s="12" t="s">
        <v>49</v>
      </c>
      <c r="D3" s="12" t="s">
        <v>327</v>
      </c>
    </row>
    <row r="4" customFormat="false" ht="34.5" hidden="false" customHeight="true" outlineLevel="0" collapsed="false">
      <c r="A4" s="7" t="s">
        <v>328</v>
      </c>
      <c r="B4" s="8" t="n">
        <v>9</v>
      </c>
      <c r="C4" s="8" t="s">
        <v>329</v>
      </c>
      <c r="D4" s="8" t="s">
        <v>330</v>
      </c>
    </row>
    <row r="5" customFormat="false" ht="23.25" hidden="false" customHeight="true" outlineLevel="0" collapsed="false">
      <c r="A5" s="5" t="s">
        <v>331</v>
      </c>
      <c r="B5" s="6" t="n">
        <f aca="false">Saudi_Data!B14</f>
        <v>20.4</v>
      </c>
      <c r="C5" s="12" t="s">
        <v>332</v>
      </c>
      <c r="D5" s="12" t="s">
        <v>333</v>
      </c>
    </row>
    <row r="6" customFormat="false" ht="34.5" hidden="false" customHeight="true" outlineLevel="0" collapsed="false">
      <c r="A6" s="7" t="s">
        <v>334</v>
      </c>
      <c r="B6" s="8" t="s">
        <v>335</v>
      </c>
      <c r="C6" s="8" t="s">
        <v>336</v>
      </c>
      <c r="D6" s="8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34"/>
  </cols>
  <sheetData>
    <row r="1" customFormat="false" ht="21.75" hidden="false" customHeight="true" outlineLevel="0" collapsed="false">
      <c r="A1" s="3" t="s">
        <v>338</v>
      </c>
      <c r="B1" s="3"/>
      <c r="C1" s="3"/>
      <c r="D1" s="3"/>
    </row>
    <row r="2" customFormat="false" ht="25.5" hidden="false" customHeight="true" outlineLevel="0" collapsed="false">
      <c r="A2" s="4" t="s">
        <v>146</v>
      </c>
      <c r="B2" s="4" t="s">
        <v>2</v>
      </c>
      <c r="C2" s="4" t="s">
        <v>28</v>
      </c>
      <c r="D2" s="4" t="s">
        <v>67</v>
      </c>
    </row>
    <row r="3" customFormat="false" ht="23.25" hidden="false" customHeight="true" outlineLevel="0" collapsed="false">
      <c r="A3" s="5" t="s">
        <v>339</v>
      </c>
      <c r="B3" s="12" t="n">
        <v>1.25</v>
      </c>
      <c r="C3" s="12" t="s">
        <v>340</v>
      </c>
      <c r="D3" s="12" t="s">
        <v>341</v>
      </c>
    </row>
    <row r="4" customFormat="false" ht="23.25" hidden="false" customHeight="true" outlineLevel="0" collapsed="false">
      <c r="A4" s="7" t="s">
        <v>342</v>
      </c>
      <c r="B4" s="8" t="n">
        <v>0.18</v>
      </c>
      <c r="C4" s="8" t="s">
        <v>343</v>
      </c>
      <c r="D4" s="8" t="s">
        <v>344</v>
      </c>
    </row>
    <row r="5" customFormat="false" ht="34.5" hidden="false" customHeight="true" outlineLevel="0" collapsed="false">
      <c r="A5" s="5" t="s">
        <v>345</v>
      </c>
      <c r="B5" s="12" t="n">
        <v>0</v>
      </c>
      <c r="C5" s="12" t="s">
        <v>346</v>
      </c>
      <c r="D5" s="12" t="s">
        <v>347</v>
      </c>
    </row>
    <row r="6" customFormat="false" ht="23.25" hidden="false" customHeight="true" outlineLevel="0" collapsed="false">
      <c r="A6" s="7" t="s">
        <v>348</v>
      </c>
      <c r="B6" s="8" t="n">
        <v>50</v>
      </c>
      <c r="C6" s="8" t="s">
        <v>41</v>
      </c>
      <c r="D6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34"/>
  </cols>
  <sheetData>
    <row r="1" customFormat="false" ht="21.75" hidden="false" customHeight="true" outlineLevel="0" collapsed="false">
      <c r="A1" s="3" t="s">
        <v>349</v>
      </c>
      <c r="B1" s="3"/>
      <c r="C1" s="3"/>
    </row>
    <row r="2" customFormat="false" ht="25.5" hidden="false" customHeight="true" outlineLevel="0" collapsed="false">
      <c r="A2" s="4" t="s">
        <v>350</v>
      </c>
      <c r="B2" s="4" t="s">
        <v>351</v>
      </c>
      <c r="C2" s="4" t="s">
        <v>29</v>
      </c>
    </row>
    <row r="3" customFormat="false" ht="15" hidden="false" customHeight="true" outlineLevel="0" collapsed="false">
      <c r="A3" s="5" t="s">
        <v>352</v>
      </c>
      <c r="B3" s="12" t="n">
        <v>490</v>
      </c>
      <c r="C3" s="12" t="s">
        <v>353</v>
      </c>
    </row>
    <row r="4" customFormat="false" ht="15" hidden="false" customHeight="true" outlineLevel="0" collapsed="false">
      <c r="A4" s="7" t="s">
        <v>354</v>
      </c>
      <c r="B4" s="8" t="n">
        <v>40</v>
      </c>
      <c r="C4" s="8" t="s">
        <v>353</v>
      </c>
    </row>
    <row r="5" customFormat="false" ht="15" hidden="false" customHeight="true" outlineLevel="0" collapsed="false">
      <c r="A5" s="5" t="s">
        <v>355</v>
      </c>
      <c r="B5" s="12" t="n">
        <v>11</v>
      </c>
      <c r="C5" s="12" t="s">
        <v>353</v>
      </c>
    </row>
    <row r="6" customFormat="false" ht="15" hidden="false" customHeight="true" outlineLevel="0" collapsed="false">
      <c r="A6" s="7" t="s">
        <v>94</v>
      </c>
      <c r="B6" s="8" t="n">
        <v>12</v>
      </c>
      <c r="C6" s="8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21.75" hidden="false" customHeight="true" outlineLevel="0" collapsed="false">
      <c r="A1" s="3" t="s">
        <v>356</v>
      </c>
      <c r="B1" s="3"/>
      <c r="C1" s="3"/>
      <c r="D1" s="3"/>
      <c r="E1" s="3"/>
      <c r="F1" s="3"/>
    </row>
    <row r="2" customFormat="false" ht="25.5" hidden="false" customHeight="true" outlineLevel="0" collapsed="false">
      <c r="A2" s="4" t="s">
        <v>8</v>
      </c>
      <c r="B2" s="4" t="s">
        <v>18</v>
      </c>
      <c r="C2" s="4" t="s">
        <v>271</v>
      </c>
      <c r="D2" s="4" t="s">
        <v>17</v>
      </c>
      <c r="E2" s="4" t="s">
        <v>14</v>
      </c>
      <c r="F2" s="4" t="s">
        <v>357</v>
      </c>
    </row>
    <row r="3" customFormat="false" ht="23.25" hidden="false" customHeight="true" outlineLevel="0" collapsed="false">
      <c r="A3" s="5" t="s">
        <v>95</v>
      </c>
      <c r="B3" s="12" t="s">
        <v>276</v>
      </c>
      <c r="C3" s="12" t="s">
        <v>358</v>
      </c>
      <c r="D3" s="12" t="n">
        <v>78</v>
      </c>
      <c r="E3" s="12" t="n">
        <v>80</v>
      </c>
      <c r="F3" s="12" t="n">
        <v>88</v>
      </c>
    </row>
    <row r="4" customFormat="false" ht="23.25" hidden="false" customHeight="true" outlineLevel="0" collapsed="false">
      <c r="A4" s="7" t="s">
        <v>97</v>
      </c>
      <c r="B4" s="8" t="s">
        <v>110</v>
      </c>
      <c r="C4" s="8" t="s">
        <v>359</v>
      </c>
      <c r="D4" s="8" t="n">
        <v>80</v>
      </c>
      <c r="E4" s="8" t="n">
        <v>78</v>
      </c>
      <c r="F4" s="8" t="n">
        <v>92</v>
      </c>
    </row>
    <row r="5" customFormat="false" ht="23.25" hidden="false" customHeight="true" outlineLevel="0" collapsed="false">
      <c r="A5" s="5" t="s">
        <v>99</v>
      </c>
      <c r="B5" s="12" t="s">
        <v>116</v>
      </c>
      <c r="C5" s="12" t="s">
        <v>360</v>
      </c>
      <c r="D5" s="12" t="n">
        <v>82</v>
      </c>
      <c r="E5" s="12" t="n">
        <v>79</v>
      </c>
      <c r="F5" s="12" t="n">
        <v>90</v>
      </c>
    </row>
    <row r="6" customFormat="false" ht="23.25" hidden="false" customHeight="true" outlineLevel="0" collapsed="false">
      <c r="A6" s="7" t="s">
        <v>100</v>
      </c>
      <c r="B6" s="8" t="s">
        <v>118</v>
      </c>
      <c r="C6" s="8" t="s">
        <v>361</v>
      </c>
      <c r="D6" s="8" t="n">
        <v>90</v>
      </c>
      <c r="E6" s="8" t="n">
        <v>77</v>
      </c>
      <c r="F6" s="8" t="n">
        <v>89</v>
      </c>
    </row>
    <row r="7" customFormat="false" ht="23.25" hidden="false" customHeight="true" outlineLevel="0" collapsed="false">
      <c r="A7" s="5" t="s">
        <v>101</v>
      </c>
      <c r="B7" s="12" t="s">
        <v>116</v>
      </c>
      <c r="C7" s="12" t="s">
        <v>362</v>
      </c>
      <c r="D7" s="12" t="n">
        <v>80</v>
      </c>
      <c r="E7" s="12" t="n">
        <v>75</v>
      </c>
      <c r="F7" s="12" t="n">
        <v>85</v>
      </c>
    </row>
    <row r="8" customFormat="false" ht="34.5" hidden="false" customHeight="true" outlineLevel="0" collapsed="false">
      <c r="A8" s="26" t="s">
        <v>9</v>
      </c>
      <c r="B8" s="27" t="s">
        <v>110</v>
      </c>
      <c r="C8" s="27" t="s">
        <v>363</v>
      </c>
      <c r="D8" s="27" t="n">
        <v>92</v>
      </c>
      <c r="E8" s="27" t="n">
        <v>89</v>
      </c>
      <c r="F8" s="27" t="n">
        <v>95</v>
      </c>
    </row>
    <row r="10" customFormat="false" ht="63.75" hidden="false" customHeight="true" outlineLevel="0" collapsed="false">
      <c r="A10" s="15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0"/>
  </cols>
  <sheetData>
    <row r="1" customFormat="false" ht="21.75" hidden="false" customHeight="true" outlineLevel="0" collapsed="false">
      <c r="A1" s="3" t="s">
        <v>365</v>
      </c>
      <c r="B1" s="3"/>
    </row>
    <row r="2" customFormat="false" ht="25.5" hidden="false" customHeight="true" outlineLevel="0" collapsed="false">
      <c r="A2" s="4" t="s">
        <v>366</v>
      </c>
      <c r="B2" s="4" t="s">
        <v>367</v>
      </c>
    </row>
    <row r="3" customFormat="false" ht="30" hidden="false" customHeight="true" outlineLevel="0" collapsed="false">
      <c r="A3" s="5" t="s">
        <v>368</v>
      </c>
      <c r="B3" s="12" t="s">
        <v>369</v>
      </c>
    </row>
    <row r="4" customFormat="false" ht="30" hidden="false" customHeight="true" outlineLevel="0" collapsed="false">
      <c r="A4" s="7" t="s">
        <v>370</v>
      </c>
      <c r="B4" s="8" t="s">
        <v>371</v>
      </c>
    </row>
    <row r="5" customFormat="false" ht="30" hidden="false" customHeight="true" outlineLevel="0" collapsed="false">
      <c r="A5" s="5" t="s">
        <v>372</v>
      </c>
      <c r="B5" s="12" t="s">
        <v>373</v>
      </c>
    </row>
    <row r="6" customFormat="false" ht="30" hidden="false" customHeight="true" outlineLevel="0" collapsed="false">
      <c r="A6" s="7" t="s">
        <v>374</v>
      </c>
      <c r="B6" s="8" t="s">
        <v>375</v>
      </c>
    </row>
    <row r="7" customFormat="false" ht="30" hidden="false" customHeight="true" outlineLevel="0" collapsed="false">
      <c r="A7" s="5" t="s">
        <v>376</v>
      </c>
      <c r="B7" s="12" t="s">
        <v>377</v>
      </c>
    </row>
    <row r="8" customFormat="false" ht="30" hidden="false" customHeight="true" outlineLevel="0" collapsed="false">
      <c r="A8" s="7" t="s">
        <v>193</v>
      </c>
      <c r="B8" s="8" t="s">
        <v>378</v>
      </c>
    </row>
    <row r="9" customFormat="false" ht="30" hidden="false" customHeight="true" outlineLevel="0" collapsed="false">
      <c r="A9" s="5" t="n">
        <v>7</v>
      </c>
      <c r="B9" s="12" t="s">
        <v>379</v>
      </c>
    </row>
    <row r="10" customFormat="false" ht="30" hidden="false" customHeight="true" outlineLevel="0" collapsed="false">
      <c r="A10" s="7" t="n">
        <v>8</v>
      </c>
      <c r="B10" s="8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2026-08-01T10:36:40Z</dcterms:created>
  <dc:creator>openpyxl</dc:creator>
  <dc:description/>
  <dc:language>en-US</dc:language>
  <cp:lastModifiedBy/>
  <dcterms:modified xsi:type="dcterms:W3CDTF">2026-08-01T12:02:20Z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